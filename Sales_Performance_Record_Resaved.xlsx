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esktop\Data_Analysis_Zeloft\"/>
    </mc:Choice>
  </mc:AlternateContent>
  <bookViews>
    <workbookView xWindow="-120" yWindow="-120" windowWidth="29040" windowHeight="15720" activeTab="4"/>
  </bookViews>
  <sheets>
    <sheet name="Sales_Performance_Record" sheetId="1" r:id="rId1"/>
    <sheet name="Tasks" sheetId="2" r:id="rId2"/>
    <sheet name="Pivot Table" sheetId="5" r:id="rId3"/>
    <sheet name="Pivot Charts" sheetId="6" r:id="rId4"/>
    <sheet name="Dashboard" sheetId="7" r:id="rId5"/>
  </sheets>
  <definedNames>
    <definedName name="_xlcn.WorksheetConnection_Sales_Performance_Record_Resaved.xlsxTable1" hidden="1">Table1[]</definedName>
  </definedNames>
  <calcPr calcId="0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  <pivotCache cacheId="7" r:id="rId13"/>
    <pivotCache cacheId="8" r:id="rId14"/>
    <pivotCache cacheId="9" r:id="rId15"/>
    <pivotCache cacheId="10" r:id="rId16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ales_Performance_Record_Resaved.xlsx!Table1"/>
        </x15:modelTables>
      </x15:dataModel>
    </ext>
  </extLst>
</workbook>
</file>

<file path=xl/connections.xml><?xml version="1.0" encoding="utf-8"?>
<connections xmlns="http://schemas.openxmlformats.org/spreadsheetml/2006/main">
  <connection id="1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ales_Performance_Record_Resaved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ales_Performance_Record_Resaved.xlsxTable1"/>
        </x15:connection>
      </ext>
    </extLst>
  </connection>
</connections>
</file>

<file path=xl/sharedStrings.xml><?xml version="1.0" encoding="utf-8"?>
<sst xmlns="http://schemas.openxmlformats.org/spreadsheetml/2006/main" count="473" uniqueCount="43">
  <si>
    <t>Month</t>
  </si>
  <si>
    <t>Region</t>
  </si>
  <si>
    <t>Product</t>
  </si>
  <si>
    <t>Units Sold</t>
  </si>
  <si>
    <t>January</t>
  </si>
  <si>
    <t>Lagos</t>
  </si>
  <si>
    <t>Zobo Drink</t>
  </si>
  <si>
    <t>Tigernut Drink</t>
  </si>
  <si>
    <t>Popcorn</t>
  </si>
  <si>
    <t>Kilishi</t>
  </si>
  <si>
    <t>Mini Kilishi</t>
  </si>
  <si>
    <t>Abuja</t>
  </si>
  <si>
    <t>Ibadan</t>
  </si>
  <si>
    <t>Port Harcourt</t>
  </si>
  <si>
    <t>February</t>
  </si>
  <si>
    <t>March</t>
  </si>
  <si>
    <t>April</t>
  </si>
  <si>
    <t>May</t>
  </si>
  <si>
    <t>June</t>
  </si>
  <si>
    <t>abuja</t>
  </si>
  <si>
    <t>Revenue (N)</t>
  </si>
  <si>
    <t>Number of Product</t>
  </si>
  <si>
    <t>Total Revenue</t>
  </si>
  <si>
    <t>Total Unit Sold</t>
  </si>
  <si>
    <t>Total Revenue per Region</t>
  </si>
  <si>
    <t>Total unit sold per Region</t>
  </si>
  <si>
    <t>Revenue per month</t>
  </si>
  <si>
    <t>Unit sold per month</t>
  </si>
  <si>
    <t>Products Revenue</t>
  </si>
  <si>
    <t>Products per Unit sold</t>
  </si>
  <si>
    <t>Monthly Revenue</t>
  </si>
  <si>
    <t>Number of Product sold per month</t>
  </si>
  <si>
    <t>Months Product sold and Revenue</t>
  </si>
  <si>
    <t>Grand Total</t>
  </si>
  <si>
    <t>Number of Products</t>
  </si>
  <si>
    <t>Tasks</t>
  </si>
  <si>
    <t>Total Revenue (N)</t>
  </si>
  <si>
    <t>Total Units Sold</t>
  </si>
  <si>
    <t>√</t>
  </si>
  <si>
    <t>Products</t>
  </si>
  <si>
    <t>Same as No. 6 above</t>
  </si>
  <si>
    <t>Number of Units Sold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</si>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</sst>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₦-469]\ 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6" fillId="0" borderId="0" xfId="0" applyFont="1"/>
    <xf numFmtId="0" fontId="18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3" fontId="0" fillId="0" borderId="0" xfId="0" applyNumberFormat="1"/>
    <xf numFmtId="0" fontId="19" fillId="0" borderId="0" xfId="0" applyFont="1"/>
    <xf numFmtId="164" fontId="0" fillId="0" borderId="0" xfId="0" applyNumberFormat="1"/>
    <xf numFmtId="0" fontId="0" fillId="33" borderId="0" xfId="0" applyFill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numFmt numFmtId="3" formatCode="#,##0"/>
    </dxf>
    <dxf>
      <numFmt numFmtId="164" formatCode="[$₦-469]\ #,##0"/>
    </dxf>
    <dxf>
      <numFmt numFmtId="164" formatCode="[$₦-469]\ 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[$₦-469]\ #,##0"/>
    </dxf>
    <dxf>
      <numFmt numFmtId="164" formatCode="[$₦-469]\ #,##0"/>
    </dxf>
    <dxf>
      <numFmt numFmtId="164" formatCode="[$₦-469]\ #,##0"/>
    </dxf>
    <dxf>
      <numFmt numFmtId="3" formatCode="#,##0"/>
    </dxf>
    <dxf>
      <numFmt numFmtId="3" formatCode="#,##0"/>
    </dxf>
    <dxf>
      <numFmt numFmtId="164" formatCode="[$₦-469]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10" Type="http://schemas.openxmlformats.org/officeDocument/2006/relationships/pivotCacheDefinition" Target="pivotCache/pivotCacheDefinition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Monthly</a:t>
            </a:r>
            <a:r>
              <a:rPr lang="en-US" sz="16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Revenue</a:t>
            </a:r>
            <a:endParaRPr lang="en-US" sz="16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966388888888889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Table'!$F$20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Table'!$E$21:$E$27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Table'!$F$21:$F$27</c:f>
              <c:numCache>
                <c:formatCode>[$₦-469]\ #,##0</c:formatCode>
                <c:ptCount val="6"/>
                <c:pt idx="0">
                  <c:v>8773.24</c:v>
                </c:pt>
                <c:pt idx="1">
                  <c:v>9127.08</c:v>
                </c:pt>
                <c:pt idx="2">
                  <c:v>7581.34</c:v>
                </c:pt>
                <c:pt idx="3">
                  <c:v>8829.6700000000019</c:v>
                </c:pt>
                <c:pt idx="4">
                  <c:v>8481.0199999999986</c:v>
                </c:pt>
                <c:pt idx="5">
                  <c:v>9734.5499999999993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38B-4F20-B9EA-31CCA50A7F8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05119840"/>
        <c:axId val="305121408"/>
      </c:lineChart>
      <c:catAx>
        <c:axId val="30511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21408"/>
        <c:crosses val="autoZero"/>
        <c:auto val="1"/>
        <c:lblAlgn val="ctr"/>
        <c:lblOffset val="100"/>
        <c:noMultiLvlLbl val="0"/>
      </c:catAx>
      <c:valAx>
        <c:axId val="30512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9]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1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[Sales_Performance_Record_Resaved.xlsx]Pivot Table!PivotTable10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/>
              <a:t>Product by revenue</a:t>
            </a:r>
          </a:p>
        </c:rich>
      </c:tx>
      <c:layout>
        <c:manualLayout>
          <c:xMode val="edge"/>
          <c:yMode val="edge"/>
          <c:x val="0.32218744531933508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Table'!$H$5:$H$10</c:f>
              <c:strCache>
                <c:ptCount val="5"/>
                <c:pt idx="0">
                  <c:v>Kilishi</c:v>
                </c:pt>
                <c:pt idx="1">
                  <c:v>Zobo Drink</c:v>
                </c:pt>
                <c:pt idx="2">
                  <c:v>Popcorn</c:v>
                </c:pt>
                <c:pt idx="3">
                  <c:v>Tigernut Drink</c:v>
                </c:pt>
                <c:pt idx="4">
                  <c:v>Mini Kilishi</c:v>
                </c:pt>
              </c:strCache>
            </c:strRef>
          </c:cat>
          <c:val>
            <c:numRef>
              <c:f>'Pivot Table'!$I$5:$I$10</c:f>
              <c:numCache>
                <c:formatCode>[$₦-469]\ #,##0</c:formatCode>
                <c:ptCount val="5"/>
                <c:pt idx="0">
                  <c:v>12819.179999999998</c:v>
                </c:pt>
                <c:pt idx="1">
                  <c:v>10977.410000000002</c:v>
                </c:pt>
                <c:pt idx="2">
                  <c:v>10204.000000000002</c:v>
                </c:pt>
                <c:pt idx="3">
                  <c:v>9630.840000000002</c:v>
                </c:pt>
                <c:pt idx="4">
                  <c:v>8895.4699999999993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7F3-424A-A8D0-9F372992FEE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305122584"/>
        <c:axId val="305122976"/>
      </c:barChart>
      <c:catAx>
        <c:axId val="305122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22976"/>
        <c:crosses val="autoZero"/>
        <c:auto val="1"/>
        <c:lblAlgn val="ctr"/>
        <c:lblOffset val="100"/>
        <c:noMultiLvlLbl val="0"/>
      </c:catAx>
      <c:valAx>
        <c:axId val="305122976"/>
        <c:scaling>
          <c:orientation val="minMax"/>
        </c:scaling>
        <c:delete val="0"/>
        <c:axPos val="l"/>
        <c:numFmt formatCode="[$₦-469]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22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Times New Roman" panose="02020603050405020304" pitchFamily="18" charset="0"/>
                <a:cs typeface="Times New Roman" panose="02020603050405020304" pitchFamily="18" charset="0"/>
              </a:rPr>
              <a:t>Regional Revenue Income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Table'!$E$13:$E$17</c:f>
              <c:strCache>
                <c:ptCount val="4"/>
                <c:pt idx="0">
                  <c:v>Abuja</c:v>
                </c:pt>
                <c:pt idx="1">
                  <c:v>Ibadan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'Pivot Table'!$F$13:$F$17</c:f>
              <c:numCache>
                <c:formatCode>[$₦-469]\ #,##0</c:formatCode>
                <c:ptCount val="4"/>
                <c:pt idx="0">
                  <c:v>14614.31</c:v>
                </c:pt>
                <c:pt idx="1">
                  <c:v>12023.530000000004</c:v>
                </c:pt>
                <c:pt idx="2">
                  <c:v>11792.609999999997</c:v>
                </c:pt>
                <c:pt idx="3">
                  <c:v>14096.45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16E-49F4-87A3-ACC0200CC1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05121016"/>
        <c:axId val="305121800"/>
        <c:axId val="0"/>
      </c:bar3DChart>
      <c:catAx>
        <c:axId val="305121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21800"/>
        <c:crosses val="autoZero"/>
        <c:auto val="1"/>
        <c:lblAlgn val="ctr"/>
        <c:lblOffset val="100"/>
        <c:noMultiLvlLbl val="0"/>
      </c:catAx>
      <c:valAx>
        <c:axId val="30512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9]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5121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sx="109000" sy="109000" algn="ctr" rotWithShape="0">
        <a:srgbClr val="000000">
          <a:alpha val="39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Products by Unit Sold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Table'!$H$14:$H$19</c:f>
              <c:strCache>
                <c:ptCount val="5"/>
                <c:pt idx="0">
                  <c:v>Kilishi</c:v>
                </c:pt>
                <c:pt idx="1">
                  <c:v>Zobo Drink</c:v>
                </c:pt>
                <c:pt idx="2">
                  <c:v>Popcorn</c:v>
                </c:pt>
                <c:pt idx="3">
                  <c:v>Mini Kilishi</c:v>
                </c:pt>
                <c:pt idx="4">
                  <c:v>Tigernut Drink</c:v>
                </c:pt>
              </c:strCache>
            </c:strRef>
          </c:cat>
          <c:val>
            <c:numRef>
              <c:f>'Pivot Table'!$I$14:$I$19</c:f>
              <c:numCache>
                <c:formatCode>#,##0</c:formatCode>
                <c:ptCount val="5"/>
                <c:pt idx="0">
                  <c:v>4551</c:v>
                </c:pt>
                <c:pt idx="1">
                  <c:v>4425</c:v>
                </c:pt>
                <c:pt idx="2">
                  <c:v>4281</c:v>
                </c:pt>
                <c:pt idx="3">
                  <c:v>4169</c:v>
                </c:pt>
                <c:pt idx="4">
                  <c:v>3814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FA-4733-9377-5BD5AA88371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5642264"/>
        <c:axId val="355637952"/>
      </c:barChart>
      <c:catAx>
        <c:axId val="3556422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37952"/>
        <c:crosses val="autoZero"/>
        <c:auto val="1"/>
        <c:lblAlgn val="ctr"/>
        <c:lblOffset val="100"/>
        <c:noMultiLvlLbl val="0"/>
      </c:catAx>
      <c:valAx>
        <c:axId val="355637952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42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latin typeface="Times New Roman" panose="02020603050405020304" pitchFamily="18" charset="0"/>
                <a:cs typeface="Times New Roman" panose="02020603050405020304" pitchFamily="18" charset="0"/>
              </a:rPr>
              <a:t>Region by Total Unit Sold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Table'!$F$4</c:f>
              <c:strCache>
                <c:ptCount val="1"/>
                <c:pt idx="0">
                  <c:v>Total</c:v>
                </c:pt>
              </c:strCache>
            </c:strRef>
          </c:tx>
          <c:explosion val="18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F6C-46AC-9C70-6E104203288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F6C-46AC-9C70-6E104203288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F6C-46AC-9C70-6E104203288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F6C-46AC-9C70-6E10420328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alpha val="99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Table'!$E$5:$E$9</c:f>
              <c:strCache>
                <c:ptCount val="4"/>
                <c:pt idx="0">
                  <c:v>Port Harcourt</c:v>
                </c:pt>
                <c:pt idx="1">
                  <c:v>Abuja</c:v>
                </c:pt>
                <c:pt idx="2">
                  <c:v>Ibadan</c:v>
                </c:pt>
                <c:pt idx="3">
                  <c:v>Lagos</c:v>
                </c:pt>
              </c:strCache>
            </c:strRef>
          </c:cat>
          <c:val>
            <c:numRef>
              <c:f>'Pivot Table'!$F$5:$F$9</c:f>
              <c:numCache>
                <c:formatCode>#,##0</c:formatCode>
                <c:ptCount val="4"/>
                <c:pt idx="0">
                  <c:v>6002</c:v>
                </c:pt>
                <c:pt idx="1">
                  <c:v>5677</c:v>
                </c:pt>
                <c:pt idx="2">
                  <c:v>4808</c:v>
                </c:pt>
                <c:pt idx="3">
                  <c:v>4753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FF6C-46AC-9C70-6E10420328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1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92100">
        <a:schemeClr val="accent1">
          <a:alpha val="40000"/>
        </a:schemeClr>
      </a:glow>
      <a:outerShdw blurRad="50800" dist="50800" dir="5400000" sx="8000" sy="8000" algn="ctr" rotWithShape="0">
        <a:srgbClr val="000000">
          <a:alpha val="43137"/>
        </a:srgbClr>
      </a:outerShdw>
      <a:softEdge rad="0"/>
    </a:effectLst>
  </c:spPr>
  <c:txPr>
    <a:bodyPr/>
    <a:lstStyle/>
    <a:p>
      <a:pPr>
        <a:defRPr>
          <a:ln>
            <a:noFill/>
          </a:ln>
          <a:solidFill>
            <a:schemeClr val="tx1">
              <a:alpha val="99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700" b="1">
                <a:latin typeface="Times New Roman" panose="02020603050405020304" pitchFamily="18" charset="0"/>
                <a:cs typeface="Times New Roman" panose="02020603050405020304" pitchFamily="18" charset="0"/>
              </a:rPr>
              <a:t>Total Units Sold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Table'!$F$30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Table'!$E$31:$E$37</c:f>
              <c:strCache>
                <c:ptCount val="6"/>
                <c:pt idx="0">
                  <c:v>June</c:v>
                </c:pt>
                <c:pt idx="1">
                  <c:v>January</c:v>
                </c:pt>
                <c:pt idx="2">
                  <c:v>May</c:v>
                </c:pt>
                <c:pt idx="3">
                  <c:v>April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'Pivot Table'!$F$31:$F$37</c:f>
              <c:numCache>
                <c:formatCode>#,##0</c:formatCode>
                <c:ptCount val="6"/>
                <c:pt idx="0">
                  <c:v>3813</c:v>
                </c:pt>
                <c:pt idx="1">
                  <c:v>3748</c:v>
                </c:pt>
                <c:pt idx="2">
                  <c:v>3693</c:v>
                </c:pt>
                <c:pt idx="3">
                  <c:v>3537</c:v>
                </c:pt>
                <c:pt idx="4">
                  <c:v>3352</c:v>
                </c:pt>
                <c:pt idx="5">
                  <c:v>3097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EB0-4FBE-BBB3-52BBD49B72B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5645008"/>
        <c:axId val="355639128"/>
      </c:lineChart>
      <c:catAx>
        <c:axId val="35564500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39128"/>
        <c:crosses val="autoZero"/>
        <c:auto val="1"/>
        <c:lblAlgn val="ctr"/>
        <c:lblOffset val="100"/>
        <c:noMultiLvlLbl val="0"/>
      </c:catAx>
      <c:valAx>
        <c:axId val="355639128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55645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accent1">
          <a:alpha val="86000"/>
        </a:schemeClr>
      </a:glow>
      <a:outerShdw blurRad="50800" dist="50800" dir="5400000" algn="ctr" rotWithShape="0">
        <a:srgbClr val="000000">
          <a:alpha val="73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Monthly Revenue by Products</a:t>
            </a:r>
          </a:p>
        </c:rich>
      </c:tx>
      <c:layout>
        <c:manualLayout>
          <c:xMode val="edge"/>
          <c:yMode val="edge"/>
          <c:x val="0.1290485564304461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0555555555555555E-2"/>
          <c:y val="0.19905110819480898"/>
          <c:w val="0.78955052493438316"/>
          <c:h val="0.712068022747156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Table'!$L$4:$L$5</c:f>
              <c:strCache>
                <c:ptCount val="1"/>
                <c:pt idx="0">
                  <c:v>Kilishi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Table'!$K$6:$K$12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Table'!$L$6:$L$12</c:f>
              <c:numCache>
                <c:formatCode>#,##0</c:formatCode>
                <c:ptCount val="6"/>
                <c:pt idx="0">
                  <c:v>2362.79</c:v>
                </c:pt>
                <c:pt idx="1">
                  <c:v>2394.19</c:v>
                </c:pt>
                <c:pt idx="2">
                  <c:v>1534.7299999999998</c:v>
                </c:pt>
                <c:pt idx="3">
                  <c:v>2199.9499999999998</c:v>
                </c:pt>
                <c:pt idx="4">
                  <c:v>1872.7800000000002</c:v>
                </c:pt>
                <c:pt idx="5">
                  <c:v>2454.7400000000002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82D-4A45-AB5F-EC25AE3C5D50}"/>
            </c:ext>
          </c:extLst>
        </c:ser>
        <c:ser>
          <c:idx val="1"/>
          <c:order val="1"/>
          <c:tx>
            <c:strRef>
              <c:f>'Pivot Table'!$M$4:$M$5</c:f>
              <c:strCache>
                <c:ptCount val="1"/>
                <c:pt idx="0">
                  <c:v>Mini Kilishi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Table'!$K$6:$K$12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Table'!$M$6:$M$12</c:f>
              <c:numCache>
                <c:formatCode>#,##0</c:formatCode>
                <c:ptCount val="6"/>
                <c:pt idx="0">
                  <c:v>1457.1000000000001</c:v>
                </c:pt>
                <c:pt idx="1">
                  <c:v>1262.05</c:v>
                </c:pt>
                <c:pt idx="2">
                  <c:v>1457.98</c:v>
                </c:pt>
                <c:pt idx="3">
                  <c:v>1961.31</c:v>
                </c:pt>
                <c:pt idx="4">
                  <c:v>1045.55</c:v>
                </c:pt>
                <c:pt idx="5">
                  <c:v>1711.48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82D-4A45-AB5F-EC25AE3C5D50}"/>
            </c:ext>
          </c:extLst>
        </c:ser>
        <c:ser>
          <c:idx val="2"/>
          <c:order val="2"/>
          <c:tx>
            <c:strRef>
              <c:f>'Pivot Table'!$N$4:$N$5</c:f>
              <c:strCache>
                <c:ptCount val="1"/>
                <c:pt idx="0">
                  <c:v>Popcorn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Table'!$K$6:$K$12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Table'!$N$6:$N$12</c:f>
              <c:numCache>
                <c:formatCode>#,##0</c:formatCode>
                <c:ptCount val="6"/>
                <c:pt idx="0">
                  <c:v>1886.5500000000002</c:v>
                </c:pt>
                <c:pt idx="1">
                  <c:v>1919.62</c:v>
                </c:pt>
                <c:pt idx="2">
                  <c:v>1579.68</c:v>
                </c:pt>
                <c:pt idx="3">
                  <c:v>1206.9199999999998</c:v>
                </c:pt>
                <c:pt idx="4">
                  <c:v>1618.8500000000001</c:v>
                </c:pt>
                <c:pt idx="5">
                  <c:v>1992.38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82D-4A45-AB5F-EC25AE3C5D50}"/>
            </c:ext>
          </c:extLst>
        </c:ser>
        <c:ser>
          <c:idx val="3"/>
          <c:order val="3"/>
          <c:tx>
            <c:strRef>
              <c:f>'Pivot Table'!$O$4:$O$5</c:f>
              <c:strCache>
                <c:ptCount val="1"/>
                <c:pt idx="0">
                  <c:v>Tigernut Drink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Table'!$K$6:$K$12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Table'!$O$6:$O$12</c:f>
              <c:numCache>
                <c:formatCode>#,##0</c:formatCode>
                <c:ptCount val="6"/>
                <c:pt idx="0">
                  <c:v>1427.4699999999998</c:v>
                </c:pt>
                <c:pt idx="1">
                  <c:v>1489.62</c:v>
                </c:pt>
                <c:pt idx="2">
                  <c:v>1538.42</c:v>
                </c:pt>
                <c:pt idx="3">
                  <c:v>1455.6399999999999</c:v>
                </c:pt>
                <c:pt idx="4">
                  <c:v>1599.3899999999999</c:v>
                </c:pt>
                <c:pt idx="5">
                  <c:v>2120.3000000000002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82D-4A45-AB5F-EC25AE3C5D50}"/>
            </c:ext>
          </c:extLst>
        </c:ser>
        <c:ser>
          <c:idx val="4"/>
          <c:order val="4"/>
          <c:tx>
            <c:strRef>
              <c:f>'Pivot Table'!$P$4:$P$5</c:f>
              <c:strCache>
                <c:ptCount val="1"/>
                <c:pt idx="0">
                  <c:v>Zobo Drink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Table'!$K$6:$K$12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Table'!$P$6:$P$12</c:f>
              <c:numCache>
                <c:formatCode>#,##0</c:formatCode>
                <c:ptCount val="6"/>
                <c:pt idx="0">
                  <c:v>1639.33</c:v>
                </c:pt>
                <c:pt idx="1">
                  <c:v>2061.6</c:v>
                </c:pt>
                <c:pt idx="2">
                  <c:v>1470.53</c:v>
                </c:pt>
                <c:pt idx="3">
                  <c:v>2005.85</c:v>
                </c:pt>
                <c:pt idx="4">
                  <c:v>2344.4499999999998</c:v>
                </c:pt>
                <c:pt idx="5">
                  <c:v>1455.65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F82D-4A45-AB5F-EC25AE3C5D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644224"/>
        <c:axId val="355638736"/>
      </c:barChart>
      <c:catAx>
        <c:axId val="355644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38736"/>
        <c:crosses val="autoZero"/>
        <c:auto val="1"/>
        <c:lblAlgn val="ctr"/>
        <c:lblOffset val="100"/>
        <c:noMultiLvlLbl val="0"/>
      </c:catAx>
      <c:valAx>
        <c:axId val="355638736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5564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88385826771657"/>
          <c:y val="0.22937481773111698"/>
          <c:w val="0.19378280839895012"/>
          <c:h val="0.45789406532516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[Sales_Performance_Record_Resaved.xlsx]Pivot Table!PivotTable10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500">
                <a:solidFill>
                  <a:schemeClr val="tx1"/>
                </a:solidFill>
              </a:rPr>
              <a:t>Product by revenue</a:t>
            </a:r>
          </a:p>
        </c:rich>
      </c:tx>
      <c:layout>
        <c:manualLayout>
          <c:xMode val="edge"/>
          <c:yMode val="edge"/>
          <c:x val="0.32218744531933508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2"/>
            </a:fgClr>
            <a:bgClr>
              <a:schemeClr val="accent2">
                <a:lumMod val="20000"/>
                <a:lumOff val="80000"/>
              </a:schemeClr>
            </a:bgClr>
          </a:pattFill>
          <a:ln>
            <a:noFill/>
          </a:ln>
          <a:effectLst>
            <a:innerShdw blurRad="114300">
              <a:schemeClr val="accent2"/>
            </a:inn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Table'!$I$4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Table'!$H$5:$H$10</c:f>
              <c:strCache>
                <c:ptCount val="5"/>
                <c:pt idx="0">
                  <c:v>Kilishi</c:v>
                </c:pt>
                <c:pt idx="1">
                  <c:v>Zobo Drink</c:v>
                </c:pt>
                <c:pt idx="2">
                  <c:v>Popcorn</c:v>
                </c:pt>
                <c:pt idx="3">
                  <c:v>Tigernut Drink</c:v>
                </c:pt>
                <c:pt idx="4">
                  <c:v>Mini Kilishi</c:v>
                </c:pt>
              </c:strCache>
            </c:strRef>
          </c:cat>
          <c:val>
            <c:numRef>
              <c:f>'Pivot Table'!$I$5:$I$10</c:f>
              <c:numCache>
                <c:formatCode>[$₦-469]\ #,##0</c:formatCode>
                <c:ptCount val="5"/>
                <c:pt idx="0">
                  <c:v>12819.179999999998</c:v>
                </c:pt>
                <c:pt idx="1">
                  <c:v>10977.410000000002</c:v>
                </c:pt>
                <c:pt idx="2">
                  <c:v>10204.000000000002</c:v>
                </c:pt>
                <c:pt idx="3">
                  <c:v>9630.840000000002</c:v>
                </c:pt>
                <c:pt idx="4">
                  <c:v>8895.4699999999993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59A-4650-86D1-76525D1EA6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355640304"/>
        <c:axId val="355642656"/>
      </c:barChart>
      <c:catAx>
        <c:axId val="355640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642656"/>
        <c:crosses val="autoZero"/>
        <c:auto val="1"/>
        <c:lblAlgn val="ctr"/>
        <c:lblOffset val="100"/>
        <c:noMultiLvlLbl val="0"/>
      </c:catAx>
      <c:valAx>
        <c:axId val="355642656"/>
        <c:scaling>
          <c:orientation val="minMax"/>
        </c:scaling>
        <c:delete val="1"/>
        <c:axPos val="l"/>
        <c:numFmt formatCode="[$₦-469]\ #,##0" sourceLinked="1"/>
        <c:majorTickMark val="out"/>
        <c:minorTickMark val="none"/>
        <c:tickLblPos val="nextTo"/>
        <c:crossAx val="35564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Regional Revenue Income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Table'!$F$12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Table'!$E$13:$E$17</c:f>
              <c:strCache>
                <c:ptCount val="4"/>
                <c:pt idx="0">
                  <c:v>Abuja</c:v>
                </c:pt>
                <c:pt idx="1">
                  <c:v>Ibadan</c:v>
                </c:pt>
                <c:pt idx="2">
                  <c:v>Lagos</c:v>
                </c:pt>
                <c:pt idx="3">
                  <c:v>Port Harcourt</c:v>
                </c:pt>
              </c:strCache>
            </c:strRef>
          </c:cat>
          <c:val>
            <c:numRef>
              <c:f>'Pivot Table'!$F$13:$F$17</c:f>
              <c:numCache>
                <c:formatCode>[$₦-469]\ #,##0</c:formatCode>
                <c:ptCount val="4"/>
                <c:pt idx="0">
                  <c:v>14614.31</c:v>
                </c:pt>
                <c:pt idx="1">
                  <c:v>12023.530000000004</c:v>
                </c:pt>
                <c:pt idx="2">
                  <c:v>11792.609999999997</c:v>
                </c:pt>
                <c:pt idx="3">
                  <c:v>14096.45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790-4C1A-B50F-FC316DA7F2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55640696"/>
        <c:axId val="356960472"/>
        <c:axId val="0"/>
      </c:bar3DChart>
      <c:catAx>
        <c:axId val="355640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0472"/>
        <c:crosses val="autoZero"/>
        <c:auto val="1"/>
        <c:lblAlgn val="ctr"/>
        <c:lblOffset val="100"/>
        <c:noMultiLvlLbl val="0"/>
      </c:catAx>
      <c:valAx>
        <c:axId val="3569604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9]\ #,##0" sourceLinked="1"/>
        <c:majorTickMark val="out"/>
        <c:minorTickMark val="none"/>
        <c:tickLblPos val="nextTo"/>
        <c:crossAx val="355640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noFill/>
      <a:round/>
    </a:ln>
    <a:effectLst>
      <a:outerShdw blurRad="50800" dist="50800" dir="5400000" sx="109000" sy="109000" algn="ctr" rotWithShape="0">
        <a:srgbClr val="000000">
          <a:alpha val="39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7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Total Units Sold Per Month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Table'!$F$30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Table'!$E$31:$E$37</c:f>
              <c:strCache>
                <c:ptCount val="6"/>
                <c:pt idx="0">
                  <c:v>June</c:v>
                </c:pt>
                <c:pt idx="1">
                  <c:v>January</c:v>
                </c:pt>
                <c:pt idx="2">
                  <c:v>May</c:v>
                </c:pt>
                <c:pt idx="3">
                  <c:v>April</c:v>
                </c:pt>
                <c:pt idx="4">
                  <c:v>February</c:v>
                </c:pt>
                <c:pt idx="5">
                  <c:v>March</c:v>
                </c:pt>
              </c:strCache>
            </c:strRef>
          </c:cat>
          <c:val>
            <c:numRef>
              <c:f>'Pivot Table'!$F$31:$F$37</c:f>
              <c:numCache>
                <c:formatCode>#,##0</c:formatCode>
                <c:ptCount val="6"/>
                <c:pt idx="0">
                  <c:v>3813</c:v>
                </c:pt>
                <c:pt idx="1">
                  <c:v>3748</c:v>
                </c:pt>
                <c:pt idx="2">
                  <c:v>3693</c:v>
                </c:pt>
                <c:pt idx="3">
                  <c:v>3537</c:v>
                </c:pt>
                <c:pt idx="4">
                  <c:v>3352</c:v>
                </c:pt>
                <c:pt idx="5">
                  <c:v>3097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38B-4CE2-BF65-0735721084A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6965568"/>
        <c:axId val="356960864"/>
      </c:lineChart>
      <c:catAx>
        <c:axId val="356965568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0864"/>
        <c:crosses val="autoZero"/>
        <c:auto val="1"/>
        <c:lblAlgn val="ctr"/>
        <c:lblOffset val="100"/>
        <c:noMultiLvlLbl val="0"/>
      </c:catAx>
      <c:valAx>
        <c:axId val="35696086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56965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27000">
        <a:schemeClr val="accent1">
          <a:alpha val="86000"/>
        </a:schemeClr>
      </a:glow>
      <a:outerShdw blurRad="50800" dist="50800" dir="5400000" algn="ctr" rotWithShape="0">
        <a:srgbClr val="000000">
          <a:alpha val="7300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Products by Unit Sold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Table'!$H$14:$H$19</c:f>
              <c:strCache>
                <c:ptCount val="5"/>
                <c:pt idx="0">
                  <c:v>Kilishi</c:v>
                </c:pt>
                <c:pt idx="1">
                  <c:v>Zobo Drink</c:v>
                </c:pt>
                <c:pt idx="2">
                  <c:v>Popcorn</c:v>
                </c:pt>
                <c:pt idx="3">
                  <c:v>Mini Kilishi</c:v>
                </c:pt>
                <c:pt idx="4">
                  <c:v>Tigernut Drink</c:v>
                </c:pt>
              </c:strCache>
            </c:strRef>
          </c:cat>
          <c:val>
            <c:numRef>
              <c:f>'Pivot Table'!$I$14:$I$19</c:f>
              <c:numCache>
                <c:formatCode>#,##0</c:formatCode>
                <c:ptCount val="5"/>
                <c:pt idx="0">
                  <c:v>4551</c:v>
                </c:pt>
                <c:pt idx="1">
                  <c:v>4425</c:v>
                </c:pt>
                <c:pt idx="2">
                  <c:v>4281</c:v>
                </c:pt>
                <c:pt idx="3">
                  <c:v>4169</c:v>
                </c:pt>
                <c:pt idx="4">
                  <c:v>3814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FAB-4BA6-B77D-6D2B48CBE2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6964000"/>
        <c:axId val="356965960"/>
      </c:barChart>
      <c:catAx>
        <c:axId val="3569640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5960"/>
        <c:crosses val="autoZero"/>
        <c:auto val="1"/>
        <c:lblAlgn val="ctr"/>
        <c:lblOffset val="100"/>
        <c:noMultiLvlLbl val="0"/>
      </c:catAx>
      <c:valAx>
        <c:axId val="356965960"/>
        <c:scaling>
          <c:orientation val="minMax"/>
        </c:scaling>
        <c:delete val="0"/>
        <c:axPos val="b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4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Monthly</a:t>
            </a:r>
            <a:r>
              <a:rPr lang="en-US" sz="1600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Revenue</a:t>
            </a:r>
            <a:endParaRPr lang="en-US" sz="16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966388888888889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1168133450479703E-2"/>
          <c:y val="0.17252408671562997"/>
          <c:w val="0.93766373309904061"/>
          <c:h val="0.6559349813135362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Table'!$F$20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Table'!$E$21:$E$27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Table'!$F$21:$F$27</c:f>
              <c:numCache>
                <c:formatCode>[$₦-469]\ #,##0</c:formatCode>
                <c:ptCount val="6"/>
                <c:pt idx="0">
                  <c:v>8773.24</c:v>
                </c:pt>
                <c:pt idx="1">
                  <c:v>9127.08</c:v>
                </c:pt>
                <c:pt idx="2">
                  <c:v>7581.34</c:v>
                </c:pt>
                <c:pt idx="3">
                  <c:v>8829.6700000000019</c:v>
                </c:pt>
                <c:pt idx="4">
                  <c:v>8481.0199999999986</c:v>
                </c:pt>
                <c:pt idx="5">
                  <c:v>9734.5499999999993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9AF-4887-A9FC-E7AC5FFF7D3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56964392"/>
        <c:axId val="356963608"/>
      </c:lineChart>
      <c:catAx>
        <c:axId val="356964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3608"/>
        <c:crosses val="autoZero"/>
        <c:auto val="1"/>
        <c:lblAlgn val="ctr"/>
        <c:lblOffset val="100"/>
        <c:noMultiLvlLbl val="0"/>
      </c:catAx>
      <c:valAx>
        <c:axId val="356963608"/>
        <c:scaling>
          <c:orientation val="minMax"/>
        </c:scaling>
        <c:delete val="1"/>
        <c:axPos val="l"/>
        <c:numFmt formatCode="[$₦-469]\ #,##0" sourceLinked="1"/>
        <c:majorTickMark val="out"/>
        <c:minorTickMark val="none"/>
        <c:tickLblPos val="nextTo"/>
        <c:crossAx val="356964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>
                    <a:alpha val="99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900" b="1">
                <a:latin typeface="Times New Roman" panose="02020603050405020304" pitchFamily="18" charset="0"/>
                <a:cs typeface="Times New Roman" panose="02020603050405020304" pitchFamily="18" charset="0"/>
              </a:rPr>
              <a:t>Region by Total Unit Sold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chemeClr val="tx1">
                      <a:alpha val="99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Table'!$F$4</c:f>
              <c:strCache>
                <c:ptCount val="1"/>
                <c:pt idx="0">
                  <c:v>Total</c:v>
                </c:pt>
              </c:strCache>
            </c:strRef>
          </c:tx>
          <c:explosion val="18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15B-40CF-A673-F1D7278AB84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15B-40CF-A673-F1D7278AB84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15B-40CF-A673-F1D7278AB84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15B-40CF-A673-F1D7278AB8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chemeClr val="tx1">
                        <a:alpha val="99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Table'!$E$5:$E$9</c:f>
              <c:strCache>
                <c:ptCount val="4"/>
                <c:pt idx="0">
                  <c:v>Port Harcourt</c:v>
                </c:pt>
                <c:pt idx="1">
                  <c:v>Abuja</c:v>
                </c:pt>
                <c:pt idx="2">
                  <c:v>Ibadan</c:v>
                </c:pt>
                <c:pt idx="3">
                  <c:v>Lagos</c:v>
                </c:pt>
              </c:strCache>
            </c:strRef>
          </c:cat>
          <c:val>
            <c:numRef>
              <c:f>'Pivot Table'!$F$5:$F$9</c:f>
              <c:numCache>
                <c:formatCode>#,##0</c:formatCode>
                <c:ptCount val="4"/>
                <c:pt idx="0">
                  <c:v>6002</c:v>
                </c:pt>
                <c:pt idx="1">
                  <c:v>5677</c:v>
                </c:pt>
                <c:pt idx="2">
                  <c:v>4808</c:v>
                </c:pt>
                <c:pt idx="3">
                  <c:v>4753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15B-40CF-A673-F1D7278AB84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1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chemeClr val="tx1">
                  <a:alpha val="99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noFill/>
      <a:round/>
    </a:ln>
    <a:effectLst>
      <a:glow rad="292100">
        <a:schemeClr val="accent1">
          <a:alpha val="40000"/>
        </a:schemeClr>
      </a:glow>
      <a:outerShdw blurRad="50800" dist="50800" dir="5400000" sx="8000" sy="8000" algn="ctr" rotWithShape="0">
        <a:srgbClr val="000000">
          <a:alpha val="43137"/>
        </a:srgbClr>
      </a:outerShdw>
      <a:softEdge rad="0"/>
    </a:effectLst>
  </c:spPr>
  <c:txPr>
    <a:bodyPr/>
    <a:lstStyle/>
    <a:p>
      <a:pPr>
        <a:defRPr>
          <a:ln>
            <a:noFill/>
          </a:ln>
          <a:solidFill>
            <a:schemeClr val="tx1">
              <a:alpha val="99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[Sales_Performance_Record_Resaved.xlsx]Pivot Table!PivotTable14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Monthly Revenue by Products</a:t>
            </a:r>
          </a:p>
        </c:rich>
      </c:tx>
      <c:layout>
        <c:manualLayout>
          <c:xMode val="edge"/>
          <c:yMode val="edge"/>
          <c:x val="0.2040578078381465"/>
          <c:y val="4.9860021502400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3.0555555555555555E-2"/>
          <c:y val="0.19905110819480898"/>
          <c:w val="0.78955052493438316"/>
          <c:h val="0.712068022747156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Table'!$L$4:$L$5</c:f>
              <c:strCache>
                <c:ptCount val="1"/>
                <c:pt idx="0">
                  <c:v>Kilishi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Table'!$K$6:$K$12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Table'!$L$6:$L$12</c:f>
              <c:numCache>
                <c:formatCode>#,##0</c:formatCode>
                <c:ptCount val="6"/>
                <c:pt idx="0">
                  <c:v>2362.79</c:v>
                </c:pt>
                <c:pt idx="1">
                  <c:v>2394.19</c:v>
                </c:pt>
                <c:pt idx="2">
                  <c:v>1534.7299999999998</c:v>
                </c:pt>
                <c:pt idx="3">
                  <c:v>2199.9499999999998</c:v>
                </c:pt>
                <c:pt idx="4">
                  <c:v>1872.7800000000002</c:v>
                </c:pt>
                <c:pt idx="5">
                  <c:v>2454.7400000000002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AA7-4AFB-A4A9-79A94AF87D56}"/>
            </c:ext>
          </c:extLst>
        </c:ser>
        <c:ser>
          <c:idx val="1"/>
          <c:order val="1"/>
          <c:tx>
            <c:strRef>
              <c:f>'Pivot Table'!$M$4:$M$5</c:f>
              <c:strCache>
                <c:ptCount val="1"/>
                <c:pt idx="0">
                  <c:v>Mini Kilishi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Table'!$K$6:$K$12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Table'!$M$6:$M$12</c:f>
              <c:numCache>
                <c:formatCode>#,##0</c:formatCode>
                <c:ptCount val="6"/>
                <c:pt idx="0">
                  <c:v>1457.1000000000001</c:v>
                </c:pt>
                <c:pt idx="1">
                  <c:v>1262.05</c:v>
                </c:pt>
                <c:pt idx="2">
                  <c:v>1457.98</c:v>
                </c:pt>
                <c:pt idx="3">
                  <c:v>1961.31</c:v>
                </c:pt>
                <c:pt idx="4">
                  <c:v>1045.55</c:v>
                </c:pt>
                <c:pt idx="5">
                  <c:v>1711.48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AA7-4AFB-A4A9-79A94AF87D56}"/>
            </c:ext>
          </c:extLst>
        </c:ser>
        <c:ser>
          <c:idx val="2"/>
          <c:order val="2"/>
          <c:tx>
            <c:strRef>
              <c:f>'Pivot Table'!$N$4:$N$5</c:f>
              <c:strCache>
                <c:ptCount val="1"/>
                <c:pt idx="0">
                  <c:v>Popcorn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Table'!$K$6:$K$12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Table'!$N$6:$N$12</c:f>
              <c:numCache>
                <c:formatCode>#,##0</c:formatCode>
                <c:ptCount val="6"/>
                <c:pt idx="0">
                  <c:v>1886.5500000000002</c:v>
                </c:pt>
                <c:pt idx="1">
                  <c:v>1919.62</c:v>
                </c:pt>
                <c:pt idx="2">
                  <c:v>1579.68</c:v>
                </c:pt>
                <c:pt idx="3">
                  <c:v>1206.9199999999998</c:v>
                </c:pt>
                <c:pt idx="4">
                  <c:v>1618.8500000000001</c:v>
                </c:pt>
                <c:pt idx="5">
                  <c:v>1992.38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AA7-4AFB-A4A9-79A94AF87D56}"/>
            </c:ext>
          </c:extLst>
        </c:ser>
        <c:ser>
          <c:idx val="3"/>
          <c:order val="3"/>
          <c:tx>
            <c:strRef>
              <c:f>'Pivot Table'!$O$4:$O$5</c:f>
              <c:strCache>
                <c:ptCount val="1"/>
                <c:pt idx="0">
                  <c:v>Tigernut Drink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Table'!$K$6:$K$12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Table'!$O$6:$O$12</c:f>
              <c:numCache>
                <c:formatCode>#,##0</c:formatCode>
                <c:ptCount val="6"/>
                <c:pt idx="0">
                  <c:v>1427.4699999999998</c:v>
                </c:pt>
                <c:pt idx="1">
                  <c:v>1489.62</c:v>
                </c:pt>
                <c:pt idx="2">
                  <c:v>1538.42</c:v>
                </c:pt>
                <c:pt idx="3">
                  <c:v>1455.6399999999999</c:v>
                </c:pt>
                <c:pt idx="4">
                  <c:v>1599.3899999999999</c:v>
                </c:pt>
                <c:pt idx="5">
                  <c:v>2120.3000000000002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AA7-4AFB-A4A9-79A94AF87D56}"/>
            </c:ext>
          </c:extLst>
        </c:ser>
        <c:ser>
          <c:idx val="4"/>
          <c:order val="4"/>
          <c:tx>
            <c:strRef>
              <c:f>'Pivot Table'!$P$4:$P$5</c:f>
              <c:strCache>
                <c:ptCount val="1"/>
                <c:pt idx="0">
                  <c:v>Zobo Drink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Table'!$K$6:$K$12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'Pivot Table'!$P$6:$P$12</c:f>
              <c:numCache>
                <c:formatCode>#,##0</c:formatCode>
                <c:ptCount val="6"/>
                <c:pt idx="0">
                  <c:v>1639.33</c:v>
                </c:pt>
                <c:pt idx="1">
                  <c:v>2061.6</c:v>
                </c:pt>
                <c:pt idx="2">
                  <c:v>1470.53</c:v>
                </c:pt>
                <c:pt idx="3">
                  <c:v>2005.85</c:v>
                </c:pt>
                <c:pt idx="4">
                  <c:v>2344.4499999999998</c:v>
                </c:pt>
                <c:pt idx="5">
                  <c:v>1455.65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AA7-4AFB-A4A9-79A94AF87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6962432"/>
        <c:axId val="356962824"/>
      </c:barChart>
      <c:catAx>
        <c:axId val="35696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962824"/>
        <c:crosses val="autoZero"/>
        <c:auto val="1"/>
        <c:lblAlgn val="ctr"/>
        <c:lblOffset val="100"/>
        <c:noMultiLvlLbl val="0"/>
      </c:catAx>
      <c:valAx>
        <c:axId val="35696282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5696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788385826771657"/>
          <c:y val="0.22937481773111698"/>
          <c:w val="0.19378280839895012"/>
          <c:h val="0.457894065325167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11" Type="http://schemas.openxmlformats.org/officeDocument/2006/relationships/image" Target="../media/image4.png"/><Relationship Id="rId5" Type="http://schemas.openxmlformats.org/officeDocument/2006/relationships/chart" Target="../charts/chart12.xml"/><Relationship Id="rId10" Type="http://schemas.openxmlformats.org/officeDocument/2006/relationships/image" Target="../media/image3.png"/><Relationship Id="rId4" Type="http://schemas.openxmlformats.org/officeDocument/2006/relationships/chart" Target="../charts/chart11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1</xdr:row>
      <xdr:rowOff>180975</xdr:rowOff>
    </xdr:from>
    <xdr:to>
      <xdr:col>8</xdr:col>
      <xdr:colOff>171450</xdr:colOff>
      <xdr:row>16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6308142-46C0-4608-A38E-0A91AF37A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66674</xdr:colOff>
      <xdr:row>2</xdr:row>
      <xdr:rowOff>19050</xdr:rowOff>
    </xdr:from>
    <xdr:to>
      <xdr:col>17</xdr:col>
      <xdr:colOff>114299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ADE1E49F-AD53-444B-8964-0FCD0347DC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561975</xdr:colOff>
      <xdr:row>18</xdr:row>
      <xdr:rowOff>152400</xdr:rowOff>
    </xdr:from>
    <xdr:to>
      <xdr:col>8</xdr:col>
      <xdr:colOff>257175</xdr:colOff>
      <xdr:row>33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9DD4C75-B06E-4BDF-8D93-3F6508958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123824</xdr:colOff>
      <xdr:row>18</xdr:row>
      <xdr:rowOff>38100</xdr:rowOff>
    </xdr:from>
    <xdr:to>
      <xdr:col>17</xdr:col>
      <xdr:colOff>171449</xdr:colOff>
      <xdr:row>33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7E9C65A9-37C6-472D-A830-93238C6C2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0</xdr:colOff>
      <xdr:row>2</xdr:row>
      <xdr:rowOff>66675</xdr:rowOff>
    </xdr:from>
    <xdr:to>
      <xdr:col>25</xdr:col>
      <xdr:colOff>304800</xdr:colOff>
      <xdr:row>16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="" xmlns:a16="http://schemas.microsoft.com/office/drawing/2014/main" id="{EBC7CAFB-04D2-412E-8C96-1036C7554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209550</xdr:colOff>
      <xdr:row>19</xdr:row>
      <xdr:rowOff>38100</xdr:rowOff>
    </xdr:from>
    <xdr:to>
      <xdr:col>25</xdr:col>
      <xdr:colOff>514350</xdr:colOff>
      <xdr:row>33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="" xmlns:a16="http://schemas.microsoft.com/office/drawing/2014/main" id="{C156BE7F-F9DE-4126-90F4-954993AA81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238125</xdr:colOff>
      <xdr:row>36</xdr:row>
      <xdr:rowOff>66674</xdr:rowOff>
    </xdr:from>
    <xdr:to>
      <xdr:col>10</xdr:col>
      <xdr:colOff>200025</xdr:colOff>
      <xdr:row>51</xdr:row>
      <xdr:rowOff>171449</xdr:rowOff>
    </xdr:to>
    <xdr:graphicFrame macro="">
      <xdr:nvGraphicFramePr>
        <xdr:cNvPr id="8" name="Chart 7">
          <a:extLst>
            <a:ext uri="{FF2B5EF4-FFF2-40B4-BE49-F238E27FC236}">
              <a16:creationId xmlns="" xmlns:a16="http://schemas.microsoft.com/office/drawing/2014/main" id="{3FA79332-B170-4411-AA8B-A511D41F0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47624</xdr:colOff>
      <xdr:row>54</xdr:row>
      <xdr:rowOff>8986</xdr:rowOff>
    </xdr:to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91FE5287-577D-8EDD-C506-AC3D4AC0B653}"/>
            </a:ext>
          </a:extLst>
        </xdr:cNvPr>
        <xdr:cNvSpPr/>
      </xdr:nvSpPr>
      <xdr:spPr>
        <a:xfrm>
          <a:off x="0" y="0"/>
          <a:ext cx="15323567" cy="10198939"/>
        </a:xfrm>
        <a:prstGeom prst="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125802</xdr:colOff>
      <xdr:row>6</xdr:row>
      <xdr:rowOff>26958</xdr:rowOff>
    </xdr:from>
    <xdr:to>
      <xdr:col>7</xdr:col>
      <xdr:colOff>242618</xdr:colOff>
      <xdr:row>19</xdr:row>
      <xdr:rowOff>170731</xdr:rowOff>
    </xdr:to>
    <xdr:graphicFrame macro="">
      <xdr:nvGraphicFramePr>
        <xdr:cNvPr id="11" name="Chart 10">
          <a:extLst>
            <a:ext uri="{FF2B5EF4-FFF2-40B4-BE49-F238E27FC236}">
              <a16:creationId xmlns="" xmlns:a16="http://schemas.microsoft.com/office/drawing/2014/main" id="{816BA05B-73BB-486F-86D4-2C15EC8A5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467264</xdr:colOff>
      <xdr:row>6</xdr:row>
      <xdr:rowOff>170731</xdr:rowOff>
    </xdr:from>
    <xdr:to>
      <xdr:col>14</xdr:col>
      <xdr:colOff>503207</xdr:colOff>
      <xdr:row>19</xdr:row>
      <xdr:rowOff>47445</xdr:rowOff>
    </xdr:to>
    <xdr:graphicFrame macro="">
      <xdr:nvGraphicFramePr>
        <xdr:cNvPr id="12" name="Chart 11">
          <a:extLst>
            <a:ext uri="{FF2B5EF4-FFF2-40B4-BE49-F238E27FC236}">
              <a16:creationId xmlns="" xmlns:a16="http://schemas.microsoft.com/office/drawing/2014/main" id="{F1F3A42F-D7F9-44F8-89F8-2EB863F4E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413349</xdr:colOff>
      <xdr:row>6</xdr:row>
      <xdr:rowOff>134787</xdr:rowOff>
    </xdr:from>
    <xdr:to>
      <xdr:col>22</xdr:col>
      <xdr:colOff>510395</xdr:colOff>
      <xdr:row>19</xdr:row>
      <xdr:rowOff>62901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328F797D-C567-4818-B335-54BED0901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89860</xdr:colOff>
      <xdr:row>21</xdr:row>
      <xdr:rowOff>0</xdr:rowOff>
    </xdr:from>
    <xdr:to>
      <xdr:col>7</xdr:col>
      <xdr:colOff>332478</xdr:colOff>
      <xdr:row>34</xdr:row>
      <xdr:rowOff>107830</xdr:rowOff>
    </xdr:to>
    <xdr:graphicFrame macro="">
      <xdr:nvGraphicFramePr>
        <xdr:cNvPr id="14" name="Chart 13">
          <a:extLst>
            <a:ext uri="{FF2B5EF4-FFF2-40B4-BE49-F238E27FC236}">
              <a16:creationId xmlns="" xmlns:a16="http://schemas.microsoft.com/office/drawing/2014/main" id="{507118B2-DD8D-4FAA-B47A-824AEFBA8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557123</xdr:colOff>
      <xdr:row>21</xdr:row>
      <xdr:rowOff>107830</xdr:rowOff>
    </xdr:from>
    <xdr:to>
      <xdr:col>15</xdr:col>
      <xdr:colOff>150963</xdr:colOff>
      <xdr:row>35</xdr:row>
      <xdr:rowOff>71887</xdr:rowOff>
    </xdr:to>
    <xdr:graphicFrame macro="">
      <xdr:nvGraphicFramePr>
        <xdr:cNvPr id="15" name="Chart 14">
          <a:extLst>
            <a:ext uri="{FF2B5EF4-FFF2-40B4-BE49-F238E27FC236}">
              <a16:creationId xmlns="" xmlns:a16="http://schemas.microsoft.com/office/drawing/2014/main" id="{589E403F-EC81-4338-A392-2CD50B3107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377405</xdr:colOff>
      <xdr:row>21</xdr:row>
      <xdr:rowOff>53915</xdr:rowOff>
    </xdr:from>
    <xdr:to>
      <xdr:col>22</xdr:col>
      <xdr:colOff>492424</xdr:colOff>
      <xdr:row>34</xdr:row>
      <xdr:rowOff>107830</xdr:rowOff>
    </xdr:to>
    <xdr:graphicFrame macro="">
      <xdr:nvGraphicFramePr>
        <xdr:cNvPr id="16" name="Chart 15">
          <a:extLst>
            <a:ext uri="{FF2B5EF4-FFF2-40B4-BE49-F238E27FC236}">
              <a16:creationId xmlns="" xmlns:a16="http://schemas.microsoft.com/office/drawing/2014/main" id="{086DF083-6E23-4329-AA34-0356C6BF97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314505</xdr:colOff>
      <xdr:row>36</xdr:row>
      <xdr:rowOff>35943</xdr:rowOff>
    </xdr:from>
    <xdr:to>
      <xdr:col>15</xdr:col>
      <xdr:colOff>566109</xdr:colOff>
      <xdr:row>52</xdr:row>
      <xdr:rowOff>116817</xdr:rowOff>
    </xdr:to>
    <xdr:graphicFrame macro="">
      <xdr:nvGraphicFramePr>
        <xdr:cNvPr id="17" name="Chart 16">
          <a:extLst>
            <a:ext uri="{FF2B5EF4-FFF2-40B4-BE49-F238E27FC236}">
              <a16:creationId xmlns="" xmlns:a16="http://schemas.microsoft.com/office/drawing/2014/main" id="{61FB9105-F02E-43A6-B954-4A0415FF2B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566107</xdr:colOff>
      <xdr:row>1</xdr:row>
      <xdr:rowOff>134789</xdr:rowOff>
    </xdr:from>
    <xdr:to>
      <xdr:col>8</xdr:col>
      <xdr:colOff>197688</xdr:colOff>
      <xdr:row>5</xdr:row>
      <xdr:rowOff>26958</xdr:rowOff>
    </xdr:to>
    <xdr:sp macro="" textlink="">
      <xdr:nvSpPr>
        <xdr:cNvPr id="18" name="TextBox 17">
          <a:extLst>
            <a:ext uri="{FF2B5EF4-FFF2-40B4-BE49-F238E27FC236}">
              <a16:creationId xmlns="" xmlns:a16="http://schemas.microsoft.com/office/drawing/2014/main" id="{A1F7FFC9-7C6B-AC7D-75A4-61BA1D89047F}"/>
            </a:ext>
          </a:extLst>
        </xdr:cNvPr>
        <xdr:cNvSpPr txBox="1"/>
      </xdr:nvSpPr>
      <xdr:spPr>
        <a:xfrm>
          <a:off x="566107" y="323492"/>
          <a:ext cx="4519883" cy="64698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>
              <a:latin typeface="Times New Roman" panose="02020603050405020304" pitchFamily="18" charset="0"/>
              <a:cs typeface="Times New Roman" panose="02020603050405020304" pitchFamily="18" charset="0"/>
            </a:rPr>
            <a:t>Sales Performance Analysis Dashboard</a:t>
          </a:r>
        </a:p>
      </xdr:txBody>
    </xdr:sp>
    <xdr:clientData/>
  </xdr:twoCellAnchor>
  <xdr:twoCellAnchor>
    <xdr:from>
      <xdr:col>0</xdr:col>
      <xdr:colOff>611037</xdr:colOff>
      <xdr:row>3</xdr:row>
      <xdr:rowOff>170733</xdr:rowOff>
    </xdr:from>
    <xdr:to>
      <xdr:col>8</xdr:col>
      <xdr:colOff>125801</xdr:colOff>
      <xdr:row>3</xdr:row>
      <xdr:rowOff>179718</xdr:rowOff>
    </xdr:to>
    <xdr:cxnSp macro="">
      <xdr:nvCxnSpPr>
        <xdr:cNvPr id="20" name="Straight Connector 19">
          <a:extLst>
            <a:ext uri="{FF2B5EF4-FFF2-40B4-BE49-F238E27FC236}">
              <a16:creationId xmlns="" xmlns:a16="http://schemas.microsoft.com/office/drawing/2014/main" id="{B0A02813-B64F-F4E9-767C-F8B4FC2F2CDF}"/>
            </a:ext>
          </a:extLst>
        </xdr:cNvPr>
        <xdr:cNvCxnSpPr/>
      </xdr:nvCxnSpPr>
      <xdr:spPr>
        <a:xfrm flipV="1">
          <a:off x="611037" y="736841"/>
          <a:ext cx="4403066" cy="8985"/>
        </a:xfrm>
        <a:prstGeom prst="line">
          <a:avLst/>
        </a:prstGeom>
        <a:ln w="2857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438149</xdr:colOff>
      <xdr:row>0</xdr:row>
      <xdr:rowOff>88899</xdr:rowOff>
    </xdr:from>
    <xdr:to>
      <xdr:col>19</xdr:col>
      <xdr:colOff>79375</xdr:colOff>
      <xdr:row>4</xdr:row>
      <xdr:rowOff>79375</xdr:rowOff>
    </xdr:to>
    <xdr:sp macro="" textlink="">
      <xdr:nvSpPr>
        <xdr:cNvPr id="23" name="Rectangle: Rounded Corners 22">
          <a:extLst>
            <a:ext uri="{FF2B5EF4-FFF2-40B4-BE49-F238E27FC236}">
              <a16:creationId xmlns="" xmlns:a16="http://schemas.microsoft.com/office/drawing/2014/main" id="{A9D8371E-3AF3-7916-AFE3-7E27D4C5B6F0}"/>
            </a:ext>
          </a:extLst>
        </xdr:cNvPr>
        <xdr:cNvSpPr/>
      </xdr:nvSpPr>
      <xdr:spPr>
        <a:xfrm>
          <a:off x="8883649" y="88899"/>
          <a:ext cx="2657476" cy="752476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  Total Revenue</a:t>
          </a:r>
        </a:p>
        <a:p>
          <a:pPr algn="ctr"/>
          <a:r>
            <a:rPr lang="en-US" sz="18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</a:t>
          </a:r>
          <a:r>
            <a:rPr lang="en-US" sz="1800" b="1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</a:t>
          </a:r>
          <a:r>
            <a:rPr lang="en-US" sz="20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₦ 52,527</a:t>
          </a:r>
          <a:r>
            <a:rPr lang="en-US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  <xdr:twoCellAnchor>
    <xdr:from>
      <xdr:col>19</xdr:col>
      <xdr:colOff>276224</xdr:colOff>
      <xdr:row>0</xdr:row>
      <xdr:rowOff>92074</xdr:rowOff>
    </xdr:from>
    <xdr:to>
      <xdr:col>24</xdr:col>
      <xdr:colOff>254000</xdr:colOff>
      <xdr:row>4</xdr:row>
      <xdr:rowOff>174625</xdr:rowOff>
    </xdr:to>
    <xdr:sp macro="" textlink="">
      <xdr:nvSpPr>
        <xdr:cNvPr id="24" name="Rectangle: Rounded Corners 23">
          <a:extLst>
            <a:ext uri="{FF2B5EF4-FFF2-40B4-BE49-F238E27FC236}">
              <a16:creationId xmlns="" xmlns:a16="http://schemas.microsoft.com/office/drawing/2014/main" id="{F26CAE03-E349-EA23-F1EE-A51AB9A09B7C}"/>
            </a:ext>
          </a:extLst>
        </xdr:cNvPr>
        <xdr:cNvSpPr/>
      </xdr:nvSpPr>
      <xdr:spPr>
        <a:xfrm>
          <a:off x="11737974" y="92074"/>
          <a:ext cx="2994026" cy="844551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  Total Units Sold</a:t>
          </a:r>
        </a:p>
        <a:p>
          <a:pPr algn="ctr"/>
          <a:r>
            <a:rPr lang="en-US" sz="18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          </a:t>
          </a:r>
          <a:r>
            <a:rPr lang="en-US" sz="1800" b="1" i="0" u="none" strike="noStrike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2000" b="1" i="0" u="none" strike="noStrike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21,240</a:t>
          </a:r>
          <a:r>
            <a:rPr lang="en-US" sz="1800"/>
            <a:t> </a:t>
          </a:r>
          <a:endParaRPr lang="en-US" sz="1800" b="1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523875</xdr:colOff>
      <xdr:row>0</xdr:row>
      <xdr:rowOff>180974</xdr:rowOff>
    </xdr:from>
    <xdr:to>
      <xdr:col>14</xdr:col>
      <xdr:colOff>476250</xdr:colOff>
      <xdr:row>5</xdr:row>
      <xdr:rowOff>57149</xdr:rowOff>
    </xdr:to>
    <xdr:sp macro="" textlink="">
      <xdr:nvSpPr>
        <xdr:cNvPr id="25" name="Rectangle: Rounded Corners 24">
          <a:extLst>
            <a:ext uri="{FF2B5EF4-FFF2-40B4-BE49-F238E27FC236}">
              <a16:creationId xmlns="" xmlns:a16="http://schemas.microsoft.com/office/drawing/2014/main" id="{CD162502-1105-ACDC-B7FE-46EB1C405BEE}"/>
            </a:ext>
          </a:extLst>
        </xdr:cNvPr>
        <xdr:cNvSpPr/>
      </xdr:nvSpPr>
      <xdr:spPr>
        <a:xfrm>
          <a:off x="5953125" y="180974"/>
          <a:ext cx="2968625" cy="828675"/>
        </a:xfrm>
        <a:prstGeom prst="round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  Number of Products</a:t>
          </a:r>
        </a:p>
        <a:p>
          <a:pPr algn="ctr"/>
          <a:r>
            <a:rPr lang="en-US" sz="18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    </a:t>
          </a:r>
          <a:r>
            <a:rPr lang="en-US" sz="2000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</a:p>
      </xdr:txBody>
    </xdr:sp>
    <xdr:clientData/>
  </xdr:twoCellAnchor>
  <xdr:twoCellAnchor editAs="oneCell">
    <xdr:from>
      <xdr:col>15</xdr:col>
      <xdr:colOff>313765</xdr:colOff>
      <xdr:row>1</xdr:row>
      <xdr:rowOff>35607</xdr:rowOff>
    </xdr:from>
    <xdr:to>
      <xdr:col>16</xdr:col>
      <xdr:colOff>131670</xdr:colOff>
      <xdr:row>3</xdr:row>
      <xdr:rowOff>77629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62515" y="226107"/>
          <a:ext cx="421155" cy="423022"/>
        </a:xfrm>
        <a:prstGeom prst="rect">
          <a:avLst/>
        </a:prstGeom>
      </xdr:spPr>
    </xdr:pic>
    <xdr:clientData/>
  </xdr:twoCellAnchor>
  <xdr:twoCellAnchor editAs="oneCell">
    <xdr:from>
      <xdr:col>9</xdr:col>
      <xdr:colOff>558426</xdr:colOff>
      <xdr:row>1</xdr:row>
      <xdr:rowOff>20058</xdr:rowOff>
    </xdr:from>
    <xdr:to>
      <xdr:col>10</xdr:col>
      <xdr:colOff>535954</xdr:colOff>
      <xdr:row>4</xdr:row>
      <xdr:rowOff>31750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7676" y="210558"/>
          <a:ext cx="580778" cy="583192"/>
        </a:xfrm>
        <a:prstGeom prst="rect">
          <a:avLst/>
        </a:prstGeom>
      </xdr:spPr>
    </xdr:pic>
    <xdr:clientData/>
  </xdr:twoCellAnchor>
  <xdr:twoCellAnchor editAs="oneCell">
    <xdr:from>
      <xdr:col>0</xdr:col>
      <xdr:colOff>148307</xdr:colOff>
      <xdr:row>2</xdr:row>
      <xdr:rowOff>28127</xdr:rowOff>
    </xdr:from>
    <xdr:to>
      <xdr:col>0</xdr:col>
      <xdr:colOff>537560</xdr:colOff>
      <xdr:row>4</xdr:row>
      <xdr:rowOff>34202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307" y="409127"/>
          <a:ext cx="389253" cy="387075"/>
        </a:xfrm>
        <a:prstGeom prst="rect">
          <a:avLst/>
        </a:prstGeom>
      </xdr:spPr>
    </xdr:pic>
    <xdr:clientData/>
  </xdr:twoCellAnchor>
  <xdr:twoCellAnchor editAs="oneCell">
    <xdr:from>
      <xdr:col>20</xdr:col>
      <xdr:colOff>104211</xdr:colOff>
      <xdr:row>0</xdr:row>
      <xdr:rowOff>137754</xdr:rowOff>
    </xdr:from>
    <xdr:to>
      <xdr:col>21</xdr:col>
      <xdr:colOff>18068</xdr:colOff>
      <xdr:row>3</xdr:row>
      <xdr:rowOff>107028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9211" y="137754"/>
          <a:ext cx="517107" cy="540774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6109.761308564812" backgroundQuery="1" createdVersion="8" refreshedVersion="8" minRefreshableVersion="3" recordCount="0" supportSubquery="1" supportAdvancedDrill="1">
  <cacheSource type="external" connectionId="1"/>
  <cacheFields count="1">
    <cacheField name="[Measures].[Distinct Count of Product]" caption="Distinct Count of Product" numFmtId="0" hierarchy="10" level="32767"/>
  </cacheFields>
  <cacheHierarchies count="11"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USER" refreshedDate="46109.762867013887" backgroundQuery="1" createdVersion="8" refreshedVersion="8" minRefreshableVersion="3" recordCount="0" supportSubquery="1" supportAdvancedDrill="1">
  <cacheSource type="external" connectionId="1"/>
  <cacheFields count="1">
    <cacheField name="[Measures].[Sum of Revenue (N)]" caption="Sum of Revenue (N)" numFmtId="0" hierarchy="8" level="32767"/>
  </cacheFields>
  <cacheHierarchies count="11"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USER" refreshedDate="46109.77262152778" backgroundQuery="1" createdVersion="8" refreshedVersion="8" minRefreshableVersion="3" recordCount="0" supportSubquery="1" supportAdvancedDrill="1">
  <cacheSource type="external" connectionId="1"/>
  <cacheFields count="1">
    <cacheField name="[Measures].[Sum of Units Sold]" caption="Sum of Units Sold" numFmtId="0" hierarchy="7" level="32767"/>
  </cacheFields>
  <cacheHierarchies count="11"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USER" refreshedDate="46109.803880324071" backgroundQuery="1" createdVersion="8" refreshedVersion="8" minRefreshableVersion="3" recordCount="0" supportSubquery="1" supportAdvancedDrill="1">
  <cacheSource type="external" connectionId="1"/>
  <cacheFields count="2">
    <cacheField name="[Table1].[Region].[Region]" caption="Region" numFmtId="0" hierarchy="1" level="1">
      <sharedItems count="4">
        <s v="Abuja"/>
        <s v="Ibadan"/>
        <s v="Lagos"/>
        <s v="Port Harcourt"/>
      </sharedItems>
    </cacheField>
    <cacheField name="[Measures].[Sum of Revenue (N)]" caption="Sum of Revenue (N)" numFmtId="0" hierarchy="8" level="32767"/>
  </cacheFields>
  <cacheHierarchies count="11"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USER" refreshedDate="46109.806591319444" backgroundQuery="1" createdVersion="8" refreshedVersion="8" minRefreshableVersion="3" recordCount="0" supportSubquery="1" supportAdvancedDrill="1">
  <cacheSource type="external" connectionId="1"/>
  <cacheFields count="2">
    <cacheField name="[Table1].[Region].[Region]" caption="Region" numFmtId="0" hierarchy="1" level="1">
      <sharedItems count="4">
        <s v="Abuja"/>
        <s v="Ibadan"/>
        <s v="Lagos"/>
        <s v="Port Harcourt"/>
      </sharedItems>
    </cacheField>
    <cacheField name="[Measures].[Sum of Units Sold]" caption="Sum of Units Sold" numFmtId="0" hierarchy="7" level="32767"/>
  </cacheFields>
  <cacheHierarchies count="11"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USER" refreshedDate="46109.811021990739" backgroundQuery="1" createdVersion="8" refreshedVersion="8" minRefreshableVersion="3" recordCount="0" supportSubquery="1" supportAdvancedDrill="1">
  <cacheSource type="external" connectionId="1"/>
  <cacheFields count="2">
    <cacheField name="[Table1].[Month].[Month]" caption="Month" numFmtId="0" level="1">
      <sharedItems count="6">
        <s v="April"/>
        <s v="February"/>
        <s v="January"/>
        <s v="June"/>
        <s v="March"/>
        <s v="May"/>
      </sharedItems>
    </cacheField>
    <cacheField name="[Measures].[Sum of Units Sold]" caption="Sum of Units Sold" numFmtId="0" hierarchy="7" level="32767"/>
  </cacheFields>
  <cacheHierarchies count="11"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USER" refreshedDate="46109.814391087966" backgroundQuery="1" createdVersion="8" refreshedVersion="8" minRefreshableVersion="3" recordCount="0" supportSubquery="1" supportAdvancedDrill="1">
  <cacheSource type="external" connectionId="1"/>
  <cacheFields count="2">
    <cacheField name="[Table1].[Product].[Product]" caption="Product" numFmtId="0" hierarchy="2" level="1">
      <sharedItems count="5">
        <s v="Kilishi"/>
        <s v="Mini Kilishi"/>
        <s v="Popcorn"/>
        <s v="Tigernut Drink"/>
        <s v="Zobo Drink"/>
      </sharedItems>
    </cacheField>
    <cacheField name="[Measures].[Sum of Units Sold]" caption="Sum of Units Sold" numFmtId="0" hierarchy="7" level="32767"/>
  </cacheFields>
  <cacheHierarchies count="11"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USER" refreshedDate="46109.90945648148" backgroundQuery="1" createdVersion="8" refreshedVersion="8" minRefreshableVersion="3" recordCount="0" supportSubquery="1" supportAdvancedDrill="1">
  <cacheSource type="external" connectionId="1"/>
  <cacheFields count="3">
    <cacheField name="[Table1].[Month].[Month]" caption="Month" numFmtId="0" level="1">
      <sharedItems count="6">
        <s v="April"/>
        <s v="February"/>
        <s v="January"/>
        <s v="June"/>
        <s v="March"/>
        <s v="May"/>
      </sharedItems>
    </cacheField>
    <cacheField name="[Measures].[Sum of Units Sold]" caption="Sum of Units Sold" numFmtId="0" hierarchy="7" level="32767"/>
    <cacheField name="[Table1].[Product].[Product]" caption="Product" numFmtId="0" hierarchy="2" level="1">
      <sharedItems count="5">
        <s v="Kilishi"/>
        <s v="Mini Kilishi"/>
        <s v="Popcorn"/>
        <s v="Tigernut Drink"/>
        <s v="Zobo Drink"/>
      </sharedItems>
    </cacheField>
  </cacheFields>
  <cacheHierarchies count="13"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venue (N)]" caption="Count of Revenue (N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venue (N)]" caption="Distinct Count of Revenue (N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USER" refreshedDate="46109.919011342594" backgroundQuery="1" createdVersion="8" refreshedVersion="8" minRefreshableVersion="3" recordCount="0" supportSubquery="1" supportAdvancedDrill="1">
  <cacheSource type="external" connectionId="1"/>
  <cacheFields count="2">
    <cacheField name="[Table1].[Month].[Month]" caption="Month" numFmtId="0" level="1">
      <sharedItems count="6">
        <s v="April"/>
        <s v="February"/>
        <s v="January"/>
        <s v="June"/>
        <s v="March"/>
        <s v="May"/>
      </sharedItems>
    </cacheField>
    <cacheField name="[Measures].[Sum of Revenue (N)]" caption="Sum of Revenue (N)" numFmtId="0" hierarchy="8" level="32767"/>
  </cacheFields>
  <cacheHierarchies count="11"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0" memberValueDatatype="130" unbalanced="0"/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USER" refreshedDate="46109.936075694444" backgroundQuery="1" createdVersion="8" refreshedVersion="8" minRefreshableVersion="3" recordCount="0" supportSubquery="1" supportAdvancedDrill="1">
  <cacheSource type="external" connectionId="1"/>
  <cacheFields count="2">
    <cacheField name="[Table1].[Product].[Product]" caption="Product" numFmtId="0" hierarchy="2" level="1">
      <sharedItems count="5">
        <s v="Kilishi"/>
        <s v="Mini Kilishi"/>
        <s v="Popcorn"/>
        <s v="Tigernut Drink"/>
        <s v="Zobo Drink"/>
      </sharedItems>
    </cacheField>
    <cacheField name="[Measures].[Sum of Revenue (N)]" caption="Sum of Revenue (N)" numFmtId="0" hierarchy="8" level="32767"/>
  </cacheFields>
  <cacheHierarchies count="11">
    <cacheHierarchy uniqueName="[Table1].[Month]" caption="Month" attribute="1" defaultMemberUniqueName="[Table1].[Month].[All]" allUniqueName="[Table1].[Month].[All]" dimensionUniqueName="[Table1]" displayFolder="" count="0" memberValueDatatype="130" unbalanced="0"/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USER" refreshedDate="46109.991985300927" backgroundQuery="1" createdVersion="8" refreshedVersion="8" minRefreshableVersion="3" recordCount="0" supportSubquery="1" supportAdvancedDrill="1">
  <cacheSource type="external" connectionId="1"/>
  <cacheFields count="3">
    <cacheField name="[Table1].[Month].[Month]" caption="Month" numFmtId="0" level="1">
      <sharedItems count="6">
        <s v="April"/>
        <s v="February"/>
        <s v="January"/>
        <s v="June"/>
        <s v="March"/>
        <s v="May"/>
      </sharedItems>
    </cacheField>
    <cacheField name="[Table1].[Product].[Product]" caption="Product" numFmtId="0" hierarchy="2" level="1">
      <sharedItems count="5">
        <s v="Kilishi"/>
        <s v="Mini Kilishi"/>
        <s v="Popcorn"/>
        <s v="Tigernut Drink"/>
        <s v="Zobo Drink"/>
      </sharedItems>
    </cacheField>
    <cacheField name="[Measures].[Sum of Revenue (N)]" caption="Sum of Revenue (N)" numFmtId="0" hierarchy="8" level="32767"/>
  </cacheFields>
  <cacheHierarchies count="13">
    <cacheHierarchy uniqueName="[Table1].[Month]" caption="Month" attribute="1" defaultMemberUniqueName="[Table1].[Month].[All]" allUniqueName="[Table1].[Month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Region]" caption="Region" attribute="1" defaultMemberUniqueName="[Table1].[Region].[All]" allUniqueName="[Table1].[Region].[All]" dimensionUniqueName="[Table1]" displayFolder="" count="0" memberValueDatatype="130" unbalanced="0"/>
    <cacheHierarchy uniqueName="[Table1].[Product]" caption="Product" attribute="1" defaultMemberUniqueName="[Table1].[Product].[All]" allUniqueName="[Table1].[Product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Units Sold]" caption="Units Sold" attribute="1" defaultMemberUniqueName="[Table1].[Units Sold].[All]" allUniqueName="[Table1].[Units Sold].[All]" dimensionUniqueName="[Table1]" displayFolder="" count="0" memberValueDatatype="20" unbalanced="0"/>
    <cacheHierarchy uniqueName="[Table1].[Revenue (N)]" caption="Revenue (N)" attribute="1" defaultMemberUniqueName="[Table1].[Revenue (N)].[All]" allUniqueName="[Table1].[Revenue (N)].[All]" dimensionUniqueName="[Table1]" displayFolder="" count="0" memberValueDatatype="5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Units Sold]" caption="Sum of Units Sol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Revenue (N)]" caption="Sum of Revenue (N)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Product]" caption="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Distinct Count of Product]" caption="Distinct Count of Product" measure="1" displayFolder="" measureGroup="Table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Revenue (N)]" caption="Count of Revenue (N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Revenue (N)]" caption="Distinct Count of Revenue (N)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rowHeaderCaption="Region">
  <location ref="E4:F9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3"/>
    </i>
    <i>
      <x/>
    </i>
    <i>
      <x v="1"/>
    </i>
    <i>
      <x v="2"/>
    </i>
    <i t="grand">
      <x/>
    </i>
  </rowItems>
  <colItems count="1">
    <i/>
  </colItems>
  <dataFields count="1">
    <dataField name="Total Units Sold" fld="1" baseField="0" baseItem="0" numFmtId="3"/>
  </dataFields>
  <formats count="1">
    <format dxfId="0">
      <pivotArea outline="0" collapsedLevelsAreSubtotals="1" fieldPosition="0"/>
    </format>
  </formats>
  <chartFormats count="10"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Units Sol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PivotTable8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 rowHeaderCaption="Month">
  <location ref="E20:F27" firstHeaderRow="1" firstDataRow="1" firstDataCol="1"/>
  <pivotFields count="2">
    <pivotField axis="axisRow" allDrilled="1" subtotalTop="0" showAll="0" sortType="ascending" defaultSubtotal="0" defaultAttributeDrillState="1">
      <items count="6">
        <item x="2"/>
        <item x="1"/>
        <item x="4"/>
        <item x="0"/>
        <item x="5"/>
        <item x="3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Total Revenue (N)" fld="1" baseField="0" baseItem="0" numFmtId="164"/>
  </dataFields>
  <formats count="1">
    <format dxfId="1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Revenue (N)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name="PivotTable1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Month" colHeaderCaption="Product">
  <location ref="K4:Q12" firstHeaderRow="1" firstDataRow="2" firstDataCol="1"/>
  <pivotFields count="3">
    <pivotField axis="axisRow" allDrilled="1" subtotalTop="0" showAll="0" sortType="ascending" defaultSubtotal="0" defaultAttributeDrillState="1">
      <items count="6">
        <item s="1" x="2"/>
        <item s="1" x="1"/>
        <item s="1" x="4"/>
        <item s="1" x="0"/>
        <item s="1" x="5"/>
        <item s="1" x="3"/>
      </items>
    </pivotField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Total Revenue (N)" fld="2" baseField="0" baseItem="0"/>
  </dataFields>
  <formats count="13">
    <format dxfId="14">
      <pivotArea collapsedLevelsAreSubtotals="1" fieldPosition="0">
        <references count="2">
          <reference field="0" count="1" selected="0">
            <x v="3"/>
          </reference>
          <reference field="1" count="0"/>
        </references>
      </pivotArea>
    </format>
    <format dxfId="13">
      <pivotArea collapsedLevelsAreSubtotals="1" fieldPosition="0">
        <references count="1">
          <reference field="0" count="1">
            <x v="1"/>
          </reference>
        </references>
      </pivotArea>
    </format>
    <format dxfId="12">
      <pivotArea collapsedLevelsAreSubtotals="1" fieldPosition="0">
        <references count="2">
          <reference field="0" count="1" selected="0">
            <x v="1"/>
          </reference>
          <reference field="1" count="0"/>
        </references>
      </pivotArea>
    </format>
    <format dxfId="11">
      <pivotArea collapsedLevelsAreSubtotals="1" fieldPosition="0">
        <references count="1">
          <reference field="0" count="1">
            <x v="0"/>
          </reference>
        </references>
      </pivotArea>
    </format>
    <format dxfId="10">
      <pivotArea collapsedLevelsAreSubtotals="1" fieldPosition="0">
        <references count="2">
          <reference field="0" count="1" selected="0">
            <x v="0"/>
          </reference>
          <reference field="1" count="0"/>
        </references>
      </pivotArea>
    </format>
    <format dxfId="9">
      <pivotArea collapsedLevelsAreSubtotals="1" fieldPosition="0">
        <references count="1">
          <reference field="0" count="1">
            <x v="5"/>
          </reference>
        </references>
      </pivotArea>
    </format>
    <format dxfId="8">
      <pivotArea collapsedLevelsAreSubtotals="1" fieldPosition="0">
        <references count="2">
          <reference field="0" count="1" selected="0">
            <x v="5"/>
          </reference>
          <reference field="1" count="0"/>
        </references>
      </pivotArea>
    </format>
    <format dxfId="7">
      <pivotArea collapsedLevelsAreSubtotals="1" fieldPosition="0">
        <references count="1">
          <reference field="0" count="1">
            <x v="2"/>
          </reference>
        </references>
      </pivotArea>
    </format>
    <format dxfId="6">
      <pivotArea collapsedLevelsAreSubtotals="1" fieldPosition="0">
        <references count="2">
          <reference field="0" count="1" selected="0">
            <x v="2"/>
          </reference>
          <reference field="1" count="0"/>
        </references>
      </pivotArea>
    </format>
    <format dxfId="5">
      <pivotArea collapsedLevelsAreSubtotals="1" fieldPosition="0">
        <references count="1">
          <reference field="0" count="1">
            <x v="4"/>
          </reference>
        </references>
      </pivotArea>
    </format>
    <format dxfId="4">
      <pivotArea collapsedLevelsAreSubtotals="1" fieldPosition="0">
        <references count="2">
          <reference field="0" count="1" selected="0">
            <x v="4"/>
          </reference>
          <reference field="1" count="0"/>
        </references>
      </pivotArea>
    </format>
    <format dxfId="3">
      <pivotArea grandRow="1" outline="0" collapsedLevelsAreSubtotals="1" fieldPosition="0"/>
    </format>
    <format dxfId="2">
      <pivotArea grandCol="1" outline="0" collapsedLevelsAreSubtotals="1" fieldPosition="0"/>
    </format>
  </formats>
  <chartFormats count="15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Revenue (N)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12:A13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Units Sold" fld="0" baseField="0" baseItem="0" numFmtId="3"/>
  </dataFields>
  <formats count="1">
    <format dxfId="15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Units Sold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name="PivotTable1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 colHeaderCaption="Months">
  <location ref="H22:O29" firstHeaderRow="1" firstDataRow="2" firstDataCol="1"/>
  <pivotFields count="3">
    <pivotField axis="axisCol" allDrilled="1" subtotalTop="0" showAll="0" sortType="descending" defaultSubtotal="0" defaultAttributeDrillState="1">
      <items count="6">
        <item s="1" x="0"/>
        <item s="1" x="1"/>
        <item s="1" x="2"/>
        <item s="1" x="3"/>
        <item s="1" x="4"/>
        <item s="1"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7">
    <i>
      <x v="3"/>
    </i>
    <i>
      <x v="2"/>
    </i>
    <i>
      <x v="5"/>
    </i>
    <i>
      <x/>
    </i>
    <i>
      <x v="1"/>
    </i>
    <i>
      <x v="4"/>
    </i>
    <i t="grand">
      <x/>
    </i>
  </colItems>
  <dataFields count="1">
    <dataField name="Number of Units Sold" fld="1" baseField="0" baseItem="0"/>
  </dataFields>
  <pivotHierarchies count="13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Number of Units Sold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name="PivotTable10" cacheId="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 rowHeaderCaption="Products">
  <location ref="H4:I10" firstHeaderRow="1" firstDataRow="1" firstDataCol="1"/>
  <pivotFields count="2">
    <pivotField axis="axisRow" allDrilled="1" subtotalTop="0" showAll="0" sortType="descending" defaultSubtotal="0" defaultAttributeDrillState="1">
      <items count="5">
        <item s="1" x="0"/>
        <item s="1" x="1"/>
        <item s="1" x="2"/>
        <item s="1" x="3"/>
        <item s="1"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4"/>
    </i>
    <i>
      <x v="2"/>
    </i>
    <i>
      <x v="3"/>
    </i>
    <i>
      <x v="1"/>
    </i>
    <i t="grand">
      <x/>
    </i>
  </rowItems>
  <colItems count="1">
    <i/>
  </colItems>
  <dataFields count="1">
    <dataField name="Total Revenue (N)" fld="1" baseField="0" baseItem="0" numFmtId="164"/>
  </dataFields>
  <formats count="1">
    <format dxfId="16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Revenue (N)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8:A9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Total Revenue (N)" fld="0" baseField="0" baseItem="0" numFmtId="164"/>
  </dataFields>
  <formats count="1">
    <format dxfId="17">
      <pivotArea outline="0" collapsedLevelsAreSubtotals="1" fieldPosition="0"/>
    </format>
  </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Revenue (N)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name="PivotTable7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Region">
  <location ref="E12:F17" firstHeaderRow="1" firstDataRow="1" firstDataCol="1"/>
  <pivotFields count="2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enue (N)" fld="1" baseField="0" baseItem="0" numFmtId="164"/>
  </dataFields>
  <formats count="1">
    <format dxfId="18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Total Revenue (N)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name="PivotTable9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 rowHeaderCaption="Month">
  <location ref="E30:F37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3"/>
    </i>
    <i>
      <x v="2"/>
    </i>
    <i>
      <x v="5"/>
    </i>
    <i>
      <x/>
    </i>
    <i>
      <x v="1"/>
    </i>
    <i>
      <x v="4"/>
    </i>
    <i t="grand">
      <x/>
    </i>
  </rowItems>
  <colItems count="1">
    <i/>
  </colItems>
  <dataFields count="1">
    <dataField name="Total Units Sold" fld="1" baseField="0" baseItem="0"/>
  </dataFields>
  <formats count="1">
    <format dxfId="19">
      <pivotArea outline="0" collapsedLevelsAreSubtotals="1" fieldPosition="0"/>
    </format>
  </format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Units Sold"/>
    <pivotHierarchy dragToData="1" caption="Total Revenue (N)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name="PivotTable1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rowHeaderCaption="Products">
  <location ref="H13:I19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/>
    </i>
    <i>
      <x v="4"/>
    </i>
    <i>
      <x v="2"/>
    </i>
    <i>
      <x v="1"/>
    </i>
    <i>
      <x v="3"/>
    </i>
    <i t="grand">
      <x/>
    </i>
  </rowItems>
  <colItems count="1">
    <i/>
  </colItems>
  <dataFields count="1">
    <dataField name="Total Units Sold" fld="1" baseField="0" baseItem="0"/>
  </dataFields>
  <formats count="1">
    <format dxfId="20">
      <pivotArea outline="0" collapsedLevelsAreSubtotals="1" fieldPosition="0"/>
    </format>
  </format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Units Sold"/>
    <pivotHierarchy dragToData="1" caption="Total Revenue (N)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A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Number of Products" fld="0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1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Number of Products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les_Performance_Record_Resaved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id="1" name="Table1" displayName="Table1" ref="A1:E121" totalsRowShown="0" headerRowDxfId="22">
  <autoFilter ref="A1:E121"/>
  <tableColumns count="5">
    <tableColumn id="1" name="Month"/>
    <tableColumn id="2" name="Region"/>
    <tableColumn id="3" name="Product"/>
    <tableColumn id="4" name="Units Sold"/>
    <tableColumn id="5" name="Revenue (N)" dataDxfId="2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>
      <pane ySplit="1" topLeftCell="A2" activePane="bottomLeft" state="frozen"/>
      <selection pane="bottomLeft" activeCell="E122" sqref="E122"/>
    </sheetView>
  </sheetViews>
  <sheetFormatPr defaultRowHeight="15" x14ac:dyDescent="0.25"/>
  <cols>
    <col min="1" max="4" width="22.140625" customWidth="1"/>
    <col min="5" max="5" width="22.140625" style="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0" t="s">
        <v>20</v>
      </c>
    </row>
    <row r="2" spans="1:5" x14ac:dyDescent="0.25">
      <c r="A2" t="s">
        <v>4</v>
      </c>
      <c r="B2" t="s">
        <v>5</v>
      </c>
      <c r="C2" t="s">
        <v>6</v>
      </c>
      <c r="D2">
        <v>152</v>
      </c>
      <c r="E2" s="8">
        <v>470.15</v>
      </c>
    </row>
    <row r="3" spans="1:5" x14ac:dyDescent="0.25">
      <c r="A3" t="s">
        <v>4</v>
      </c>
      <c r="B3" t="s">
        <v>5</v>
      </c>
      <c r="C3" t="s">
        <v>7</v>
      </c>
      <c r="D3">
        <v>64</v>
      </c>
      <c r="E3" s="8">
        <v>189.7</v>
      </c>
    </row>
    <row r="4" spans="1:5" x14ac:dyDescent="0.25">
      <c r="A4" t="s">
        <v>4</v>
      </c>
      <c r="B4" t="s">
        <v>5</v>
      </c>
      <c r="C4" t="s">
        <v>8</v>
      </c>
      <c r="D4">
        <v>238</v>
      </c>
      <c r="E4" s="8">
        <v>641.1</v>
      </c>
    </row>
    <row r="5" spans="1:5" x14ac:dyDescent="0.25">
      <c r="A5" t="s">
        <v>4</v>
      </c>
      <c r="B5" t="s">
        <v>5</v>
      </c>
      <c r="C5" t="s">
        <v>9</v>
      </c>
      <c r="D5">
        <v>171</v>
      </c>
      <c r="E5" s="8">
        <v>309.85000000000002</v>
      </c>
    </row>
    <row r="6" spans="1:5" x14ac:dyDescent="0.25">
      <c r="A6" t="s">
        <v>4</v>
      </c>
      <c r="B6" t="s">
        <v>5</v>
      </c>
      <c r="C6" t="s">
        <v>10</v>
      </c>
      <c r="D6">
        <v>124</v>
      </c>
      <c r="E6" s="8">
        <v>299.89</v>
      </c>
    </row>
    <row r="7" spans="1:5" x14ac:dyDescent="0.25">
      <c r="A7" t="s">
        <v>4</v>
      </c>
      <c r="B7" t="s">
        <v>11</v>
      </c>
      <c r="C7" t="s">
        <v>6</v>
      </c>
      <c r="D7">
        <v>166</v>
      </c>
      <c r="E7" s="8">
        <v>448.57</v>
      </c>
    </row>
    <row r="8" spans="1:5" x14ac:dyDescent="0.25">
      <c r="A8" t="s">
        <v>4</v>
      </c>
      <c r="B8" t="s">
        <v>11</v>
      </c>
      <c r="C8" t="s">
        <v>7</v>
      </c>
      <c r="D8">
        <v>201</v>
      </c>
      <c r="E8" s="8">
        <v>563.16</v>
      </c>
    </row>
    <row r="9" spans="1:5" x14ac:dyDescent="0.25">
      <c r="A9" t="s">
        <v>4</v>
      </c>
      <c r="B9" t="s">
        <v>11</v>
      </c>
      <c r="C9" t="s">
        <v>8</v>
      </c>
      <c r="D9">
        <v>102</v>
      </c>
      <c r="E9" s="8">
        <v>350.86</v>
      </c>
    </row>
    <row r="10" spans="1:5" x14ac:dyDescent="0.25">
      <c r="A10" t="s">
        <v>4</v>
      </c>
      <c r="B10" t="s">
        <v>11</v>
      </c>
      <c r="C10" t="s">
        <v>9</v>
      </c>
      <c r="D10">
        <v>285</v>
      </c>
      <c r="E10" s="8">
        <v>962.48</v>
      </c>
    </row>
    <row r="11" spans="1:5" x14ac:dyDescent="0.25">
      <c r="A11" t="s">
        <v>4</v>
      </c>
      <c r="B11" t="s">
        <v>11</v>
      </c>
      <c r="C11" t="s">
        <v>10</v>
      </c>
      <c r="D11">
        <v>179</v>
      </c>
      <c r="E11" s="8">
        <v>333.59</v>
      </c>
    </row>
    <row r="12" spans="1:5" x14ac:dyDescent="0.25">
      <c r="A12" t="s">
        <v>4</v>
      </c>
      <c r="B12" t="s">
        <v>12</v>
      </c>
      <c r="C12" t="s">
        <v>6</v>
      </c>
      <c r="D12">
        <v>70</v>
      </c>
      <c r="E12" s="8">
        <v>191.45</v>
      </c>
    </row>
    <row r="13" spans="1:5" x14ac:dyDescent="0.25">
      <c r="A13" t="s">
        <v>4</v>
      </c>
      <c r="B13" t="s">
        <v>12</v>
      </c>
      <c r="C13" t="s">
        <v>7</v>
      </c>
      <c r="D13">
        <v>107</v>
      </c>
      <c r="E13" s="8">
        <v>272.8</v>
      </c>
    </row>
    <row r="14" spans="1:5" x14ac:dyDescent="0.25">
      <c r="A14" t="s">
        <v>4</v>
      </c>
      <c r="B14" t="s">
        <v>12</v>
      </c>
      <c r="C14" t="s">
        <v>8</v>
      </c>
      <c r="D14">
        <v>285</v>
      </c>
      <c r="E14" s="8">
        <v>440.65</v>
      </c>
    </row>
    <row r="15" spans="1:5" x14ac:dyDescent="0.25">
      <c r="A15" t="s">
        <v>4</v>
      </c>
      <c r="B15" t="s">
        <v>12</v>
      </c>
      <c r="C15" t="s">
        <v>9</v>
      </c>
      <c r="D15">
        <v>268</v>
      </c>
      <c r="E15" s="8">
        <v>729.95</v>
      </c>
    </row>
    <row r="16" spans="1:5" x14ac:dyDescent="0.25">
      <c r="A16" t="s">
        <v>4</v>
      </c>
      <c r="B16" t="s">
        <v>12</v>
      </c>
      <c r="C16" t="s">
        <v>10</v>
      </c>
      <c r="D16">
        <v>219</v>
      </c>
      <c r="E16" s="8">
        <v>348.94</v>
      </c>
    </row>
    <row r="17" spans="1:5" x14ac:dyDescent="0.25">
      <c r="A17" t="s">
        <v>4</v>
      </c>
      <c r="B17" t="s">
        <v>13</v>
      </c>
      <c r="C17" t="s">
        <v>6</v>
      </c>
      <c r="D17">
        <v>237</v>
      </c>
      <c r="E17" s="8">
        <v>529.16</v>
      </c>
    </row>
    <row r="18" spans="1:5" x14ac:dyDescent="0.25">
      <c r="A18" t="s">
        <v>4</v>
      </c>
      <c r="B18" t="s">
        <v>13</v>
      </c>
      <c r="C18" t="s">
        <v>7</v>
      </c>
      <c r="D18">
        <v>239</v>
      </c>
      <c r="E18" s="8">
        <v>401.81</v>
      </c>
    </row>
    <row r="19" spans="1:5" x14ac:dyDescent="0.25">
      <c r="A19" t="s">
        <v>4</v>
      </c>
      <c r="B19" t="s">
        <v>13</v>
      </c>
      <c r="C19" t="s">
        <v>8</v>
      </c>
      <c r="D19">
        <v>239</v>
      </c>
      <c r="E19" s="8">
        <v>453.94</v>
      </c>
    </row>
    <row r="20" spans="1:5" x14ac:dyDescent="0.25">
      <c r="A20" t="s">
        <v>4</v>
      </c>
      <c r="B20" t="s">
        <v>13</v>
      </c>
      <c r="C20" t="s">
        <v>9</v>
      </c>
      <c r="D20">
        <v>104</v>
      </c>
      <c r="E20" s="8">
        <v>360.51</v>
      </c>
    </row>
    <row r="21" spans="1:5" x14ac:dyDescent="0.25">
      <c r="A21" t="s">
        <v>4</v>
      </c>
      <c r="B21" t="s">
        <v>13</v>
      </c>
      <c r="C21" t="s">
        <v>10</v>
      </c>
      <c r="D21">
        <v>298</v>
      </c>
      <c r="E21" s="8">
        <v>474.68</v>
      </c>
    </row>
    <row r="22" spans="1:5" x14ac:dyDescent="0.25">
      <c r="A22" t="s">
        <v>14</v>
      </c>
      <c r="B22" t="s">
        <v>5</v>
      </c>
      <c r="C22" t="s">
        <v>6</v>
      </c>
      <c r="D22">
        <v>100</v>
      </c>
      <c r="E22" s="8">
        <v>286.06</v>
      </c>
    </row>
    <row r="23" spans="1:5" x14ac:dyDescent="0.25">
      <c r="A23" t="s">
        <v>14</v>
      </c>
      <c r="B23" t="s">
        <v>5</v>
      </c>
      <c r="C23" t="s">
        <v>7</v>
      </c>
      <c r="D23">
        <v>122</v>
      </c>
      <c r="E23" s="8">
        <v>198.87</v>
      </c>
    </row>
    <row r="24" spans="1:5" x14ac:dyDescent="0.25">
      <c r="A24" t="s">
        <v>14</v>
      </c>
      <c r="B24" t="s">
        <v>5</v>
      </c>
      <c r="C24" t="s">
        <v>8</v>
      </c>
      <c r="D24">
        <v>181</v>
      </c>
      <c r="E24" s="8">
        <v>612.58000000000004</v>
      </c>
    </row>
    <row r="25" spans="1:5" x14ac:dyDescent="0.25">
      <c r="A25" t="s">
        <v>14</v>
      </c>
      <c r="B25" t="s">
        <v>5</v>
      </c>
      <c r="C25" t="s">
        <v>9</v>
      </c>
      <c r="D25">
        <v>63</v>
      </c>
      <c r="E25" s="8">
        <v>196.36</v>
      </c>
    </row>
    <row r="26" spans="1:5" x14ac:dyDescent="0.25">
      <c r="A26" t="s">
        <v>14</v>
      </c>
      <c r="B26" t="s">
        <v>5</v>
      </c>
      <c r="C26" t="s">
        <v>10</v>
      </c>
      <c r="D26">
        <v>58</v>
      </c>
      <c r="E26" s="8">
        <v>88.85</v>
      </c>
    </row>
    <row r="27" spans="1:5" x14ac:dyDescent="0.25">
      <c r="A27" t="s">
        <v>14</v>
      </c>
      <c r="B27" t="s">
        <v>11</v>
      </c>
      <c r="C27" t="s">
        <v>6</v>
      </c>
      <c r="D27">
        <v>179</v>
      </c>
      <c r="E27" s="8">
        <v>513.46</v>
      </c>
    </row>
    <row r="28" spans="1:5" x14ac:dyDescent="0.25">
      <c r="A28" t="s">
        <v>14</v>
      </c>
      <c r="B28" t="s">
        <v>11</v>
      </c>
      <c r="C28" t="s">
        <v>7</v>
      </c>
      <c r="D28">
        <v>160</v>
      </c>
      <c r="E28" s="8">
        <v>458.64</v>
      </c>
    </row>
    <row r="29" spans="1:5" x14ac:dyDescent="0.25">
      <c r="A29" t="s">
        <v>14</v>
      </c>
      <c r="B29" t="s">
        <v>11</v>
      </c>
      <c r="C29" t="s">
        <v>8</v>
      </c>
      <c r="D29">
        <v>221</v>
      </c>
      <c r="E29" s="8">
        <v>550.37</v>
      </c>
    </row>
    <row r="30" spans="1:5" x14ac:dyDescent="0.25">
      <c r="A30" t="s">
        <v>14</v>
      </c>
      <c r="B30" t="s">
        <v>11</v>
      </c>
      <c r="C30" t="s">
        <v>9</v>
      </c>
      <c r="D30">
        <v>224</v>
      </c>
      <c r="E30" s="8">
        <v>413.67</v>
      </c>
    </row>
    <row r="31" spans="1:5" x14ac:dyDescent="0.25">
      <c r="A31" t="s">
        <v>14</v>
      </c>
      <c r="B31" t="s">
        <v>11</v>
      </c>
      <c r="C31" t="s">
        <v>10</v>
      </c>
      <c r="D31">
        <v>130</v>
      </c>
      <c r="E31" s="8">
        <v>262.27999999999997</v>
      </c>
    </row>
    <row r="32" spans="1:5" x14ac:dyDescent="0.25">
      <c r="A32" t="s">
        <v>14</v>
      </c>
      <c r="B32" t="s">
        <v>12</v>
      </c>
      <c r="C32" t="s">
        <v>6</v>
      </c>
      <c r="D32">
        <v>153</v>
      </c>
      <c r="E32" s="8">
        <v>460.64</v>
      </c>
    </row>
    <row r="33" spans="1:5" x14ac:dyDescent="0.25">
      <c r="A33" t="s">
        <v>14</v>
      </c>
      <c r="B33" t="s">
        <v>12</v>
      </c>
      <c r="C33" t="s">
        <v>7</v>
      </c>
      <c r="D33">
        <v>183</v>
      </c>
      <c r="E33" s="8">
        <v>350.61</v>
      </c>
    </row>
    <row r="34" spans="1:5" x14ac:dyDescent="0.25">
      <c r="A34" t="s">
        <v>14</v>
      </c>
      <c r="B34" t="s">
        <v>12</v>
      </c>
      <c r="C34" t="s">
        <v>8</v>
      </c>
      <c r="D34">
        <v>53</v>
      </c>
      <c r="E34" s="8">
        <v>99.09</v>
      </c>
    </row>
    <row r="35" spans="1:5" x14ac:dyDescent="0.25">
      <c r="A35" t="s">
        <v>14</v>
      </c>
      <c r="B35" t="s">
        <v>12</v>
      </c>
      <c r="C35" t="s">
        <v>9</v>
      </c>
      <c r="D35">
        <v>240</v>
      </c>
      <c r="E35" s="8">
        <v>764.3</v>
      </c>
    </row>
    <row r="36" spans="1:5" x14ac:dyDescent="0.25">
      <c r="A36" t="s">
        <v>14</v>
      </c>
      <c r="B36" t="s">
        <v>12</v>
      </c>
      <c r="C36" t="s">
        <v>10</v>
      </c>
      <c r="D36">
        <v>93</v>
      </c>
      <c r="E36" s="8">
        <v>314.25</v>
      </c>
    </row>
    <row r="37" spans="1:5" x14ac:dyDescent="0.25">
      <c r="A37" t="s">
        <v>14</v>
      </c>
      <c r="B37" t="s">
        <v>13</v>
      </c>
      <c r="C37" t="s">
        <v>6</v>
      </c>
      <c r="D37">
        <v>239</v>
      </c>
      <c r="E37" s="8">
        <v>801.44</v>
      </c>
    </row>
    <row r="38" spans="1:5" x14ac:dyDescent="0.25">
      <c r="A38" t="s">
        <v>14</v>
      </c>
      <c r="B38" t="s">
        <v>13</v>
      </c>
      <c r="C38" t="s">
        <v>7</v>
      </c>
      <c r="D38">
        <v>144</v>
      </c>
      <c r="E38" s="8">
        <v>481.5</v>
      </c>
    </row>
    <row r="39" spans="1:5" x14ac:dyDescent="0.25">
      <c r="A39" t="s">
        <v>14</v>
      </c>
      <c r="B39" t="s">
        <v>13</v>
      </c>
      <c r="C39" t="s">
        <v>8</v>
      </c>
      <c r="D39">
        <v>249</v>
      </c>
      <c r="E39" s="8">
        <v>657.58</v>
      </c>
    </row>
    <row r="40" spans="1:5" x14ac:dyDescent="0.25">
      <c r="A40" t="s">
        <v>14</v>
      </c>
      <c r="B40" t="s">
        <v>13</v>
      </c>
      <c r="C40" t="s">
        <v>9</v>
      </c>
      <c r="D40">
        <v>298</v>
      </c>
      <c r="E40" s="8">
        <v>1019.86</v>
      </c>
    </row>
    <row r="41" spans="1:5" x14ac:dyDescent="0.25">
      <c r="A41" t="s">
        <v>14</v>
      </c>
      <c r="B41" t="s">
        <v>13</v>
      </c>
      <c r="C41" t="s">
        <v>10</v>
      </c>
      <c r="D41">
        <v>262</v>
      </c>
      <c r="E41" s="8">
        <v>596.66999999999996</v>
      </c>
    </row>
    <row r="42" spans="1:5" x14ac:dyDescent="0.25">
      <c r="A42" t="s">
        <v>15</v>
      </c>
      <c r="B42" t="s">
        <v>5</v>
      </c>
      <c r="C42" t="s">
        <v>6</v>
      </c>
      <c r="D42">
        <v>131</v>
      </c>
      <c r="E42" s="8">
        <v>337.9</v>
      </c>
    </row>
    <row r="43" spans="1:5" x14ac:dyDescent="0.25">
      <c r="A43" t="s">
        <v>15</v>
      </c>
      <c r="B43" t="s">
        <v>5</v>
      </c>
      <c r="C43" t="s">
        <v>7</v>
      </c>
      <c r="D43">
        <v>73</v>
      </c>
      <c r="E43" s="8">
        <v>161.59</v>
      </c>
    </row>
    <row r="44" spans="1:5" x14ac:dyDescent="0.25">
      <c r="A44" t="s">
        <v>15</v>
      </c>
      <c r="B44" t="s">
        <v>5</v>
      </c>
      <c r="C44" t="s">
        <v>8</v>
      </c>
      <c r="D44">
        <v>237</v>
      </c>
      <c r="E44" s="8">
        <v>612.74</v>
      </c>
    </row>
    <row r="45" spans="1:5" x14ac:dyDescent="0.25">
      <c r="A45" t="s">
        <v>15</v>
      </c>
      <c r="B45" t="s">
        <v>5</v>
      </c>
      <c r="C45" t="s">
        <v>9</v>
      </c>
      <c r="D45">
        <v>90</v>
      </c>
      <c r="E45" s="8">
        <v>188.33</v>
      </c>
    </row>
    <row r="46" spans="1:5" x14ac:dyDescent="0.25">
      <c r="A46" t="s">
        <v>15</v>
      </c>
      <c r="B46" t="s">
        <v>5</v>
      </c>
      <c r="C46" t="s">
        <v>10</v>
      </c>
      <c r="D46">
        <v>94</v>
      </c>
      <c r="E46" s="8">
        <v>155.02000000000001</v>
      </c>
    </row>
    <row r="47" spans="1:5" x14ac:dyDescent="0.25">
      <c r="A47" t="s">
        <v>15</v>
      </c>
      <c r="B47" t="s">
        <v>11</v>
      </c>
      <c r="C47" t="s">
        <v>6</v>
      </c>
      <c r="D47">
        <v>120</v>
      </c>
      <c r="E47" s="8">
        <v>281.62</v>
      </c>
    </row>
    <row r="48" spans="1:5" x14ac:dyDescent="0.25">
      <c r="A48" t="s">
        <v>15</v>
      </c>
      <c r="B48" t="s">
        <v>11</v>
      </c>
      <c r="C48" t="s">
        <v>7</v>
      </c>
      <c r="D48">
        <v>178</v>
      </c>
      <c r="E48" s="8">
        <v>337.74</v>
      </c>
    </row>
    <row r="49" spans="1:5" x14ac:dyDescent="0.25">
      <c r="A49" t="s">
        <v>15</v>
      </c>
      <c r="B49" t="s">
        <v>11</v>
      </c>
      <c r="C49" t="s">
        <v>8</v>
      </c>
      <c r="D49">
        <v>265</v>
      </c>
      <c r="E49" s="8">
        <v>404.96</v>
      </c>
    </row>
    <row r="50" spans="1:5" x14ac:dyDescent="0.25">
      <c r="A50" t="s">
        <v>15</v>
      </c>
      <c r="B50" t="s">
        <v>11</v>
      </c>
      <c r="C50" t="s">
        <v>9</v>
      </c>
      <c r="D50">
        <v>292</v>
      </c>
      <c r="E50" s="8">
        <v>850.8</v>
      </c>
    </row>
    <row r="51" spans="1:5" x14ac:dyDescent="0.25">
      <c r="A51" t="s">
        <v>15</v>
      </c>
      <c r="B51" t="s">
        <v>11</v>
      </c>
      <c r="C51" t="s">
        <v>10</v>
      </c>
      <c r="D51">
        <v>212</v>
      </c>
      <c r="E51" s="8">
        <v>653.03</v>
      </c>
    </row>
    <row r="52" spans="1:5" x14ac:dyDescent="0.25">
      <c r="A52" t="s">
        <v>15</v>
      </c>
      <c r="B52" t="s">
        <v>12</v>
      </c>
      <c r="C52" t="s">
        <v>6</v>
      </c>
      <c r="D52">
        <v>172</v>
      </c>
      <c r="E52" s="8">
        <v>283.47000000000003</v>
      </c>
    </row>
    <row r="53" spans="1:5" x14ac:dyDescent="0.25">
      <c r="A53" t="s">
        <v>15</v>
      </c>
      <c r="B53" t="s">
        <v>12</v>
      </c>
      <c r="C53" t="s">
        <v>7</v>
      </c>
      <c r="D53">
        <v>280</v>
      </c>
      <c r="E53" s="8">
        <v>784.6</v>
      </c>
    </row>
    <row r="54" spans="1:5" x14ac:dyDescent="0.25">
      <c r="A54" t="s">
        <v>15</v>
      </c>
      <c r="B54" t="s">
        <v>12</v>
      </c>
      <c r="C54" t="s">
        <v>8</v>
      </c>
      <c r="D54">
        <v>77</v>
      </c>
      <c r="E54" s="8">
        <v>248.42</v>
      </c>
    </row>
    <row r="55" spans="1:5" x14ac:dyDescent="0.25">
      <c r="A55" t="s">
        <v>15</v>
      </c>
      <c r="B55" t="s">
        <v>12</v>
      </c>
      <c r="C55" t="s">
        <v>9</v>
      </c>
      <c r="D55">
        <v>121</v>
      </c>
      <c r="E55" s="8">
        <v>290.27</v>
      </c>
    </row>
    <row r="56" spans="1:5" x14ac:dyDescent="0.25">
      <c r="A56" t="s">
        <v>15</v>
      </c>
      <c r="B56" t="s">
        <v>12</v>
      </c>
      <c r="C56" t="s">
        <v>10</v>
      </c>
      <c r="D56">
        <v>82</v>
      </c>
      <c r="E56" s="8">
        <v>133.41999999999999</v>
      </c>
    </row>
    <row r="57" spans="1:5" x14ac:dyDescent="0.25">
      <c r="A57" t="s">
        <v>15</v>
      </c>
      <c r="B57" t="s">
        <v>13</v>
      </c>
      <c r="C57" t="s">
        <v>6</v>
      </c>
      <c r="D57">
        <v>200</v>
      </c>
      <c r="E57" s="8">
        <v>567.54</v>
      </c>
    </row>
    <row r="58" spans="1:5" x14ac:dyDescent="0.25">
      <c r="A58" t="s">
        <v>15</v>
      </c>
      <c r="B58" t="s">
        <v>13</v>
      </c>
      <c r="C58" t="s">
        <v>7</v>
      </c>
      <c r="D58">
        <v>86</v>
      </c>
      <c r="E58" s="8">
        <v>254.49</v>
      </c>
    </row>
    <row r="59" spans="1:5" x14ac:dyDescent="0.25">
      <c r="A59" t="s">
        <v>15</v>
      </c>
      <c r="B59" t="s">
        <v>13</v>
      </c>
      <c r="C59" t="s">
        <v>8</v>
      </c>
      <c r="D59">
        <v>153</v>
      </c>
      <c r="E59" s="8">
        <v>313.56</v>
      </c>
    </row>
    <row r="60" spans="1:5" x14ac:dyDescent="0.25">
      <c r="A60" t="s">
        <v>15</v>
      </c>
      <c r="B60" t="s">
        <v>13</v>
      </c>
      <c r="C60" t="s">
        <v>9</v>
      </c>
      <c r="D60">
        <v>84</v>
      </c>
      <c r="E60" s="8">
        <v>205.33</v>
      </c>
    </row>
    <row r="61" spans="1:5" x14ac:dyDescent="0.25">
      <c r="A61" t="s">
        <v>15</v>
      </c>
      <c r="B61" t="s">
        <v>13</v>
      </c>
      <c r="C61" t="s">
        <v>10</v>
      </c>
      <c r="D61">
        <v>150</v>
      </c>
      <c r="E61" s="8">
        <v>516.51</v>
      </c>
    </row>
    <row r="62" spans="1:5" x14ac:dyDescent="0.25">
      <c r="A62" t="s">
        <v>16</v>
      </c>
      <c r="B62" t="s">
        <v>5</v>
      </c>
      <c r="C62" t="s">
        <v>6</v>
      </c>
      <c r="D62">
        <v>180</v>
      </c>
      <c r="E62" s="8">
        <v>543.88</v>
      </c>
    </row>
    <row r="63" spans="1:5" x14ac:dyDescent="0.25">
      <c r="A63" t="s">
        <v>16</v>
      </c>
      <c r="B63" t="s">
        <v>5</v>
      </c>
      <c r="C63" t="s">
        <v>7</v>
      </c>
      <c r="D63">
        <v>267</v>
      </c>
      <c r="E63" s="8">
        <v>526.52</v>
      </c>
    </row>
    <row r="64" spans="1:5" x14ac:dyDescent="0.25">
      <c r="A64" t="s">
        <v>16</v>
      </c>
      <c r="B64" t="s">
        <v>5</v>
      </c>
      <c r="C64" t="s">
        <v>8</v>
      </c>
      <c r="D64">
        <v>191</v>
      </c>
      <c r="E64" s="8">
        <v>475.13</v>
      </c>
    </row>
    <row r="65" spans="1:5" x14ac:dyDescent="0.25">
      <c r="A65" t="s">
        <v>16</v>
      </c>
      <c r="B65" t="s">
        <v>5</v>
      </c>
      <c r="C65" t="s">
        <v>9</v>
      </c>
      <c r="D65">
        <v>186</v>
      </c>
      <c r="E65" s="8">
        <v>543.37</v>
      </c>
    </row>
    <row r="66" spans="1:5" x14ac:dyDescent="0.25">
      <c r="A66" t="s">
        <v>16</v>
      </c>
      <c r="B66" t="s">
        <v>5</v>
      </c>
      <c r="C66" t="s">
        <v>10</v>
      </c>
      <c r="D66">
        <v>139</v>
      </c>
      <c r="E66" s="8">
        <v>215.57</v>
      </c>
    </row>
    <row r="67" spans="1:5" x14ac:dyDescent="0.25">
      <c r="A67" t="s">
        <v>16</v>
      </c>
      <c r="B67" t="s">
        <v>11</v>
      </c>
      <c r="C67" t="s">
        <v>6</v>
      </c>
      <c r="D67">
        <v>254</v>
      </c>
      <c r="E67" s="8">
        <v>483.47</v>
      </c>
    </row>
    <row r="68" spans="1:5" x14ac:dyDescent="0.25">
      <c r="A68" t="s">
        <v>16</v>
      </c>
      <c r="B68" t="s">
        <v>11</v>
      </c>
      <c r="C68" t="s">
        <v>7</v>
      </c>
      <c r="D68">
        <v>145</v>
      </c>
      <c r="E68" s="8">
        <v>402.06</v>
      </c>
    </row>
    <row r="69" spans="1:5" x14ac:dyDescent="0.25">
      <c r="A69" t="s">
        <v>16</v>
      </c>
      <c r="B69" t="s">
        <v>11</v>
      </c>
      <c r="C69" t="s">
        <v>8</v>
      </c>
      <c r="D69">
        <v>101</v>
      </c>
      <c r="E69" s="8">
        <v>265.27999999999997</v>
      </c>
    </row>
    <row r="70" spans="1:5" x14ac:dyDescent="0.25">
      <c r="A70" t="s">
        <v>16</v>
      </c>
      <c r="B70" t="s">
        <v>11</v>
      </c>
      <c r="C70" t="s">
        <v>9</v>
      </c>
      <c r="D70">
        <v>181</v>
      </c>
      <c r="E70" s="8">
        <v>600.04</v>
      </c>
    </row>
    <row r="71" spans="1:5" x14ac:dyDescent="0.25">
      <c r="A71" t="s">
        <v>16</v>
      </c>
      <c r="B71" t="s">
        <v>11</v>
      </c>
      <c r="C71" t="s">
        <v>10</v>
      </c>
      <c r="D71">
        <v>200</v>
      </c>
      <c r="E71" s="8">
        <v>541.77</v>
      </c>
    </row>
    <row r="72" spans="1:5" x14ac:dyDescent="0.25">
      <c r="A72" t="s">
        <v>16</v>
      </c>
      <c r="B72" t="s">
        <v>12</v>
      </c>
      <c r="C72" t="s">
        <v>6</v>
      </c>
      <c r="D72">
        <v>192</v>
      </c>
      <c r="E72" s="8">
        <v>578.13</v>
      </c>
    </row>
    <row r="73" spans="1:5" x14ac:dyDescent="0.25">
      <c r="A73" t="s">
        <v>16</v>
      </c>
      <c r="B73" t="s">
        <v>12</v>
      </c>
      <c r="C73" t="s">
        <v>7</v>
      </c>
      <c r="D73">
        <v>85</v>
      </c>
      <c r="E73" s="8">
        <v>287.79000000000002</v>
      </c>
    </row>
    <row r="74" spans="1:5" x14ac:dyDescent="0.25">
      <c r="A74" t="s">
        <v>16</v>
      </c>
      <c r="B74" t="s">
        <v>12</v>
      </c>
      <c r="C74" t="s">
        <v>8</v>
      </c>
      <c r="D74">
        <v>120</v>
      </c>
      <c r="E74" s="8">
        <v>249.54</v>
      </c>
    </row>
    <row r="75" spans="1:5" x14ac:dyDescent="0.25">
      <c r="A75" t="s">
        <v>16</v>
      </c>
      <c r="B75" t="s">
        <v>12</v>
      </c>
      <c r="C75" t="s">
        <v>9</v>
      </c>
      <c r="D75">
        <v>135</v>
      </c>
      <c r="E75" s="8">
        <v>440.23</v>
      </c>
    </row>
    <row r="76" spans="1:5" x14ac:dyDescent="0.25">
      <c r="A76" t="s">
        <v>16</v>
      </c>
      <c r="B76" t="s">
        <v>12</v>
      </c>
      <c r="C76" t="s">
        <v>10</v>
      </c>
      <c r="D76">
        <v>219</v>
      </c>
      <c r="E76" s="8">
        <v>682.46</v>
      </c>
    </row>
    <row r="77" spans="1:5" x14ac:dyDescent="0.25">
      <c r="A77" t="s">
        <v>16</v>
      </c>
      <c r="B77" t="s">
        <v>13</v>
      </c>
      <c r="C77" t="s">
        <v>6</v>
      </c>
      <c r="D77">
        <v>234</v>
      </c>
      <c r="E77" s="8">
        <v>400.37</v>
      </c>
    </row>
    <row r="78" spans="1:5" x14ac:dyDescent="0.25">
      <c r="A78" t="s">
        <v>16</v>
      </c>
      <c r="B78" t="s">
        <v>13</v>
      </c>
      <c r="C78" t="s">
        <v>7</v>
      </c>
      <c r="D78">
        <v>77</v>
      </c>
      <c r="E78" s="8">
        <v>239.27</v>
      </c>
    </row>
    <row r="79" spans="1:5" x14ac:dyDescent="0.25">
      <c r="A79" t="s">
        <v>16</v>
      </c>
      <c r="B79" t="s">
        <v>13</v>
      </c>
      <c r="C79" t="s">
        <v>8</v>
      </c>
      <c r="D79">
        <v>93</v>
      </c>
      <c r="E79" s="8">
        <v>216.97</v>
      </c>
    </row>
    <row r="80" spans="1:5" x14ac:dyDescent="0.25">
      <c r="A80" t="s">
        <v>16</v>
      </c>
      <c r="B80" t="s">
        <v>13</v>
      </c>
      <c r="C80" t="s">
        <v>9</v>
      </c>
      <c r="D80">
        <v>239</v>
      </c>
      <c r="E80" s="8">
        <v>616.30999999999995</v>
      </c>
    </row>
    <row r="81" spans="1:5" x14ac:dyDescent="0.25">
      <c r="A81" t="s">
        <v>16</v>
      </c>
      <c r="B81" t="s">
        <v>13</v>
      </c>
      <c r="C81" t="s">
        <v>10</v>
      </c>
      <c r="D81">
        <v>299</v>
      </c>
      <c r="E81" s="8">
        <v>521.51</v>
      </c>
    </row>
    <row r="82" spans="1:5" x14ac:dyDescent="0.25">
      <c r="A82" t="s">
        <v>17</v>
      </c>
      <c r="B82" t="s">
        <v>5</v>
      </c>
      <c r="C82" t="s">
        <v>6</v>
      </c>
      <c r="D82">
        <v>266</v>
      </c>
      <c r="E82" s="8">
        <v>568.17999999999995</v>
      </c>
    </row>
    <row r="83" spans="1:5" x14ac:dyDescent="0.25">
      <c r="A83" t="s">
        <v>17</v>
      </c>
      <c r="B83" t="s">
        <v>5</v>
      </c>
      <c r="C83" t="s">
        <v>7</v>
      </c>
      <c r="D83">
        <v>274</v>
      </c>
      <c r="E83" s="8">
        <v>560.13</v>
      </c>
    </row>
    <row r="84" spans="1:5" x14ac:dyDescent="0.25">
      <c r="A84" t="s">
        <v>17</v>
      </c>
      <c r="B84" t="s">
        <v>5</v>
      </c>
      <c r="C84" t="s">
        <v>8</v>
      </c>
      <c r="D84">
        <v>76</v>
      </c>
      <c r="E84" s="8">
        <v>178.92</v>
      </c>
    </row>
    <row r="85" spans="1:5" x14ac:dyDescent="0.25">
      <c r="A85" t="s">
        <v>17</v>
      </c>
      <c r="B85" t="s">
        <v>5</v>
      </c>
      <c r="C85" t="s">
        <v>9</v>
      </c>
      <c r="D85">
        <v>165</v>
      </c>
      <c r="E85" s="8">
        <v>363.85</v>
      </c>
    </row>
    <row r="86" spans="1:5" x14ac:dyDescent="0.25">
      <c r="A86" t="s">
        <v>17</v>
      </c>
      <c r="B86" t="s">
        <v>5</v>
      </c>
      <c r="C86" t="s">
        <v>10</v>
      </c>
      <c r="D86">
        <v>52</v>
      </c>
      <c r="E86" s="8">
        <v>78.72</v>
      </c>
    </row>
    <row r="87" spans="1:5" x14ac:dyDescent="0.25">
      <c r="A87" t="s">
        <v>17</v>
      </c>
      <c r="B87" t="s">
        <v>11</v>
      </c>
      <c r="C87" t="s">
        <v>6</v>
      </c>
      <c r="D87">
        <v>249</v>
      </c>
      <c r="E87" s="8">
        <v>639.48</v>
      </c>
    </row>
    <row r="88" spans="1:5" x14ac:dyDescent="0.25">
      <c r="A88" t="s">
        <v>17</v>
      </c>
      <c r="B88" t="s">
        <v>11</v>
      </c>
      <c r="C88" t="s">
        <v>7</v>
      </c>
      <c r="D88">
        <v>111</v>
      </c>
      <c r="E88" s="8">
        <v>215.81</v>
      </c>
    </row>
    <row r="89" spans="1:5" x14ac:dyDescent="0.25">
      <c r="A89" t="s">
        <v>17</v>
      </c>
      <c r="B89" t="s">
        <v>11</v>
      </c>
      <c r="C89" t="s">
        <v>8</v>
      </c>
      <c r="D89">
        <v>100</v>
      </c>
      <c r="E89" s="8">
        <v>203.88</v>
      </c>
    </row>
    <row r="90" spans="1:5" x14ac:dyDescent="0.25">
      <c r="A90" t="s">
        <v>17</v>
      </c>
      <c r="B90" t="s">
        <v>11</v>
      </c>
      <c r="C90" t="s">
        <v>9</v>
      </c>
      <c r="D90">
        <v>201</v>
      </c>
      <c r="E90" s="8">
        <v>680.55</v>
      </c>
    </row>
    <row r="91" spans="1:5" x14ac:dyDescent="0.25">
      <c r="A91" t="s">
        <v>17</v>
      </c>
      <c r="B91" t="s">
        <v>11</v>
      </c>
      <c r="C91" t="s">
        <v>10</v>
      </c>
      <c r="D91">
        <v>167</v>
      </c>
      <c r="E91" s="8">
        <v>323.57</v>
      </c>
    </row>
    <row r="92" spans="1:5" x14ac:dyDescent="0.25">
      <c r="A92" t="s">
        <v>17</v>
      </c>
      <c r="B92" t="s">
        <v>12</v>
      </c>
      <c r="C92" t="s">
        <v>6</v>
      </c>
      <c r="D92">
        <v>265</v>
      </c>
      <c r="E92" s="8">
        <v>770.1</v>
      </c>
    </row>
    <row r="93" spans="1:5" x14ac:dyDescent="0.25">
      <c r="A93" t="s">
        <v>17</v>
      </c>
      <c r="B93" t="s">
        <v>12</v>
      </c>
      <c r="C93" t="s">
        <v>7</v>
      </c>
      <c r="D93">
        <v>162</v>
      </c>
      <c r="E93" s="8">
        <v>264.02999999999997</v>
      </c>
    </row>
    <row r="94" spans="1:5" x14ac:dyDescent="0.25">
      <c r="A94" t="s">
        <v>17</v>
      </c>
      <c r="B94" t="s">
        <v>12</v>
      </c>
      <c r="C94" t="s">
        <v>8</v>
      </c>
      <c r="D94">
        <v>235</v>
      </c>
      <c r="E94" s="8">
        <v>804.85</v>
      </c>
    </row>
    <row r="95" spans="1:5" x14ac:dyDescent="0.25">
      <c r="A95" t="s">
        <v>17</v>
      </c>
      <c r="B95" t="s">
        <v>12</v>
      </c>
      <c r="C95" t="s">
        <v>9</v>
      </c>
      <c r="D95">
        <v>88</v>
      </c>
      <c r="E95" s="8">
        <v>219.52</v>
      </c>
    </row>
    <row r="96" spans="1:5" x14ac:dyDescent="0.25">
      <c r="A96" t="s">
        <v>17</v>
      </c>
      <c r="B96" t="s">
        <v>12</v>
      </c>
      <c r="C96" t="s">
        <v>10</v>
      </c>
      <c r="D96">
        <v>162</v>
      </c>
      <c r="E96" s="8">
        <v>290.98</v>
      </c>
    </row>
    <row r="97" spans="1:5" x14ac:dyDescent="0.25">
      <c r="A97" t="s">
        <v>17</v>
      </c>
      <c r="B97" t="s">
        <v>13</v>
      </c>
      <c r="C97" t="s">
        <v>6</v>
      </c>
      <c r="D97">
        <v>233</v>
      </c>
      <c r="E97" s="8">
        <v>366.69</v>
      </c>
    </row>
    <row r="98" spans="1:5" x14ac:dyDescent="0.25">
      <c r="A98" t="s">
        <v>17</v>
      </c>
      <c r="B98" t="s">
        <v>13</v>
      </c>
      <c r="C98" t="s">
        <v>7</v>
      </c>
      <c r="D98">
        <v>162</v>
      </c>
      <c r="E98" s="8">
        <v>559.41999999999996</v>
      </c>
    </row>
    <row r="99" spans="1:5" x14ac:dyDescent="0.25">
      <c r="A99" t="s">
        <v>17</v>
      </c>
      <c r="B99" t="s">
        <v>13</v>
      </c>
      <c r="C99" t="s">
        <v>8</v>
      </c>
      <c r="D99">
        <v>269</v>
      </c>
      <c r="E99" s="8">
        <v>431.2</v>
      </c>
    </row>
    <row r="100" spans="1:5" x14ac:dyDescent="0.25">
      <c r="A100" t="s">
        <v>17</v>
      </c>
      <c r="B100" t="s">
        <v>13</v>
      </c>
      <c r="C100" t="s">
        <v>9</v>
      </c>
      <c r="D100">
        <v>278</v>
      </c>
      <c r="E100" s="8">
        <v>608.86</v>
      </c>
    </row>
    <row r="101" spans="1:5" x14ac:dyDescent="0.25">
      <c r="A101" t="s">
        <v>17</v>
      </c>
      <c r="B101" t="s">
        <v>13</v>
      </c>
      <c r="C101" t="s">
        <v>10</v>
      </c>
      <c r="D101">
        <v>178</v>
      </c>
      <c r="E101" s="8">
        <v>352.28</v>
      </c>
    </row>
    <row r="102" spans="1:5" x14ac:dyDescent="0.25">
      <c r="A102" t="s">
        <v>18</v>
      </c>
      <c r="B102" t="s">
        <v>5</v>
      </c>
      <c r="C102" t="s">
        <v>6</v>
      </c>
      <c r="D102">
        <v>179</v>
      </c>
      <c r="E102" s="8">
        <v>458.57</v>
      </c>
    </row>
    <row r="103" spans="1:5" x14ac:dyDescent="0.25">
      <c r="A103" t="s">
        <v>18</v>
      </c>
      <c r="B103" t="s">
        <v>5</v>
      </c>
      <c r="C103" t="s">
        <v>7</v>
      </c>
      <c r="D103">
        <v>267</v>
      </c>
      <c r="E103" s="8">
        <v>926.84</v>
      </c>
    </row>
    <row r="104" spans="1:5" x14ac:dyDescent="0.25">
      <c r="A104" t="s">
        <v>18</v>
      </c>
      <c r="B104" t="s">
        <v>5</v>
      </c>
      <c r="C104" t="s">
        <v>8</v>
      </c>
      <c r="D104">
        <v>209</v>
      </c>
      <c r="E104" s="8">
        <v>561.25</v>
      </c>
    </row>
    <row r="105" spans="1:5" x14ac:dyDescent="0.25">
      <c r="A105" t="s">
        <v>18</v>
      </c>
      <c r="B105" t="s">
        <v>5</v>
      </c>
      <c r="C105" t="s">
        <v>9</v>
      </c>
      <c r="D105">
        <v>232</v>
      </c>
      <c r="E105" s="8">
        <v>701.39</v>
      </c>
    </row>
    <row r="106" spans="1:5" x14ac:dyDescent="0.25">
      <c r="A106" t="s">
        <v>18</v>
      </c>
      <c r="B106" t="s">
        <v>5</v>
      </c>
      <c r="C106" t="s">
        <v>10</v>
      </c>
      <c r="D106">
        <v>172</v>
      </c>
      <c r="E106" s="8">
        <v>341.3</v>
      </c>
    </row>
    <row r="107" spans="1:5" x14ac:dyDescent="0.25">
      <c r="A107" t="s">
        <v>18</v>
      </c>
      <c r="B107" t="s">
        <v>19</v>
      </c>
      <c r="C107" t="s">
        <v>6</v>
      </c>
      <c r="D107">
        <v>87</v>
      </c>
      <c r="E107" s="8">
        <v>194.49</v>
      </c>
    </row>
    <row r="108" spans="1:5" x14ac:dyDescent="0.25">
      <c r="A108" t="s">
        <v>18</v>
      </c>
      <c r="B108" t="s">
        <v>11</v>
      </c>
      <c r="C108" t="s">
        <v>7</v>
      </c>
      <c r="D108">
        <v>165</v>
      </c>
      <c r="E108" s="8">
        <v>572.03</v>
      </c>
    </row>
    <row r="109" spans="1:5" x14ac:dyDescent="0.25">
      <c r="A109" t="s">
        <v>18</v>
      </c>
      <c r="B109" t="s">
        <v>11</v>
      </c>
      <c r="C109" t="s">
        <v>8</v>
      </c>
      <c r="D109">
        <v>263</v>
      </c>
      <c r="E109" s="8">
        <v>676.32</v>
      </c>
    </row>
    <row r="110" spans="1:5" x14ac:dyDescent="0.25">
      <c r="A110" t="s">
        <v>18</v>
      </c>
      <c r="B110" t="s">
        <v>11</v>
      </c>
      <c r="C110" t="s">
        <v>9</v>
      </c>
      <c r="D110">
        <v>289</v>
      </c>
      <c r="E110" s="8">
        <v>894.94</v>
      </c>
    </row>
    <row r="111" spans="1:5" x14ac:dyDescent="0.25">
      <c r="A111" t="s">
        <v>18</v>
      </c>
      <c r="B111" t="s">
        <v>11</v>
      </c>
      <c r="C111" t="s">
        <v>10</v>
      </c>
      <c r="D111">
        <v>250</v>
      </c>
      <c r="E111" s="8">
        <v>535.39</v>
      </c>
    </row>
    <row r="112" spans="1:5" x14ac:dyDescent="0.25">
      <c r="A112" t="s">
        <v>18</v>
      </c>
      <c r="B112" t="s">
        <v>12</v>
      </c>
      <c r="C112" t="s">
        <v>6</v>
      </c>
      <c r="D112">
        <v>119</v>
      </c>
      <c r="E112" s="8">
        <v>344.1</v>
      </c>
    </row>
    <row r="113" spans="1:5" x14ac:dyDescent="0.25">
      <c r="A113" t="s">
        <v>18</v>
      </c>
      <c r="B113" t="s">
        <v>12</v>
      </c>
      <c r="C113" t="s">
        <v>7</v>
      </c>
      <c r="D113">
        <v>52</v>
      </c>
      <c r="E113" s="8">
        <v>139.44999999999999</v>
      </c>
    </row>
    <row r="114" spans="1:5" x14ac:dyDescent="0.25">
      <c r="A114" t="s">
        <v>18</v>
      </c>
      <c r="B114" t="s">
        <v>12</v>
      </c>
      <c r="C114" t="s">
        <v>8</v>
      </c>
      <c r="D114">
        <v>236</v>
      </c>
      <c r="E114" s="8">
        <v>457.95</v>
      </c>
    </row>
    <row r="115" spans="1:5" x14ac:dyDescent="0.25">
      <c r="A115" t="s">
        <v>18</v>
      </c>
      <c r="B115" t="s">
        <v>12</v>
      </c>
      <c r="C115" t="s">
        <v>9</v>
      </c>
      <c r="D115">
        <v>139</v>
      </c>
      <c r="E115" s="8">
        <v>350.86</v>
      </c>
    </row>
    <row r="116" spans="1:5" x14ac:dyDescent="0.25">
      <c r="A116" t="s">
        <v>18</v>
      </c>
      <c r="B116" t="s">
        <v>12</v>
      </c>
      <c r="C116" t="s">
        <v>10</v>
      </c>
      <c r="D116">
        <v>196</v>
      </c>
      <c r="E116" s="8">
        <v>430.68</v>
      </c>
    </row>
    <row r="117" spans="1:5" x14ac:dyDescent="0.25">
      <c r="A117" t="s">
        <v>18</v>
      </c>
      <c r="B117" t="s">
        <v>13</v>
      </c>
      <c r="C117" t="s">
        <v>6</v>
      </c>
      <c r="D117">
        <v>248</v>
      </c>
      <c r="E117" s="8">
        <v>458.49</v>
      </c>
    </row>
    <row r="118" spans="1:5" x14ac:dyDescent="0.25">
      <c r="A118" t="s">
        <v>18</v>
      </c>
      <c r="B118" t="s">
        <v>13</v>
      </c>
      <c r="C118" t="s">
        <v>7</v>
      </c>
      <c r="D118">
        <v>210</v>
      </c>
      <c r="E118" s="8">
        <v>481.98</v>
      </c>
    </row>
    <row r="119" spans="1:5" x14ac:dyDescent="0.25">
      <c r="A119" t="s">
        <v>18</v>
      </c>
      <c r="B119" t="s">
        <v>13</v>
      </c>
      <c r="C119" t="s">
        <v>8</v>
      </c>
      <c r="D119">
        <v>88</v>
      </c>
      <c r="E119" s="8">
        <v>296.86</v>
      </c>
    </row>
    <row r="120" spans="1:5" x14ac:dyDescent="0.25">
      <c r="A120" t="s">
        <v>18</v>
      </c>
      <c r="B120" t="s">
        <v>13</v>
      </c>
      <c r="C120" t="s">
        <v>9</v>
      </c>
      <c r="D120">
        <v>178</v>
      </c>
      <c r="E120" s="8">
        <v>507.55</v>
      </c>
    </row>
    <row r="121" spans="1:5" x14ac:dyDescent="0.25">
      <c r="A121" t="s">
        <v>18</v>
      </c>
      <c r="B121" t="s">
        <v>13</v>
      </c>
      <c r="C121" t="s">
        <v>10</v>
      </c>
      <c r="D121">
        <v>234</v>
      </c>
      <c r="E121" s="8">
        <v>404.11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4"/>
  <sheetViews>
    <sheetView workbookViewId="0">
      <selection activeCell="C18" sqref="C18"/>
    </sheetView>
  </sheetViews>
  <sheetFormatPr defaultRowHeight="15" x14ac:dyDescent="0.25"/>
  <cols>
    <col min="1" max="1" width="14.28515625" customWidth="1"/>
    <col min="2" max="2" width="49.85546875" customWidth="1"/>
    <col min="3" max="3" width="26" customWidth="1"/>
  </cols>
  <sheetData>
    <row r="2" spans="1:3" ht="18.75" x14ac:dyDescent="0.3">
      <c r="B2" s="2" t="s">
        <v>35</v>
      </c>
    </row>
    <row r="3" spans="1:3" ht="18.75" x14ac:dyDescent="0.3">
      <c r="A3">
        <v>1</v>
      </c>
      <c r="B3" t="s">
        <v>21</v>
      </c>
      <c r="C3" s="7" t="s">
        <v>38</v>
      </c>
    </row>
    <row r="4" spans="1:3" ht="18.75" x14ac:dyDescent="0.3">
      <c r="A4">
        <v>2</v>
      </c>
      <c r="B4" t="s">
        <v>22</v>
      </c>
      <c r="C4" s="7" t="s">
        <v>38</v>
      </c>
    </row>
    <row r="5" spans="1:3" ht="18.75" x14ac:dyDescent="0.3">
      <c r="A5">
        <v>3</v>
      </c>
      <c r="B5" t="s">
        <v>23</v>
      </c>
      <c r="C5" s="7" t="s">
        <v>38</v>
      </c>
    </row>
    <row r="6" spans="1:3" ht="18.75" x14ac:dyDescent="0.3">
      <c r="A6">
        <v>4</v>
      </c>
      <c r="B6" t="s">
        <v>25</v>
      </c>
      <c r="C6" s="7" t="s">
        <v>38</v>
      </c>
    </row>
    <row r="7" spans="1:3" ht="18.75" x14ac:dyDescent="0.3">
      <c r="A7">
        <v>5</v>
      </c>
      <c r="B7" t="s">
        <v>24</v>
      </c>
      <c r="C7" s="7" t="s">
        <v>38</v>
      </c>
    </row>
    <row r="8" spans="1:3" ht="18.75" x14ac:dyDescent="0.3">
      <c r="A8">
        <v>6</v>
      </c>
      <c r="B8" t="s">
        <v>26</v>
      </c>
      <c r="C8" s="7" t="s">
        <v>38</v>
      </c>
    </row>
    <row r="9" spans="1:3" ht="18.75" x14ac:dyDescent="0.3">
      <c r="A9">
        <v>7</v>
      </c>
      <c r="B9" t="s">
        <v>27</v>
      </c>
      <c r="C9" s="7" t="s">
        <v>38</v>
      </c>
    </row>
    <row r="10" spans="1:3" ht="18.75" x14ac:dyDescent="0.3">
      <c r="A10">
        <v>8</v>
      </c>
      <c r="B10" t="s">
        <v>28</v>
      </c>
      <c r="C10" s="7" t="s">
        <v>38</v>
      </c>
    </row>
    <row r="11" spans="1:3" ht="18.75" x14ac:dyDescent="0.3">
      <c r="A11">
        <v>9</v>
      </c>
      <c r="B11" t="s">
        <v>29</v>
      </c>
      <c r="C11" s="7" t="s">
        <v>38</v>
      </c>
    </row>
    <row r="12" spans="1:3" ht="18.75" x14ac:dyDescent="0.3">
      <c r="A12">
        <v>10</v>
      </c>
      <c r="B12" t="s">
        <v>30</v>
      </c>
      <c r="C12" s="7" t="s">
        <v>40</v>
      </c>
    </row>
    <row r="13" spans="1:3" ht="18.75" x14ac:dyDescent="0.3">
      <c r="A13">
        <v>11</v>
      </c>
      <c r="B13" t="s">
        <v>31</v>
      </c>
      <c r="C13" s="7" t="s">
        <v>38</v>
      </c>
    </row>
    <row r="14" spans="1:3" ht="18.75" x14ac:dyDescent="0.3">
      <c r="A14">
        <v>12</v>
      </c>
      <c r="B14" t="s">
        <v>32</v>
      </c>
      <c r="C14" s="7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37"/>
  <sheetViews>
    <sheetView workbookViewId="0">
      <selection activeCell="A19" sqref="A19"/>
    </sheetView>
  </sheetViews>
  <sheetFormatPr defaultRowHeight="15" x14ac:dyDescent="0.25"/>
  <cols>
    <col min="1" max="1" width="19" bestFit="1" customWidth="1"/>
    <col min="5" max="5" width="11.28515625" bestFit="1" customWidth="1"/>
    <col min="6" max="6" width="17.28515625" bestFit="1" customWidth="1"/>
    <col min="7" max="7" width="19" bestFit="1" customWidth="1"/>
    <col min="8" max="8" width="13.7109375" bestFit="1" customWidth="1"/>
    <col min="9" max="9" width="17.28515625" bestFit="1" customWidth="1"/>
    <col min="10" max="10" width="7.7109375" bestFit="1" customWidth="1"/>
    <col min="11" max="11" width="17.28515625" bestFit="1" customWidth="1"/>
    <col min="12" max="12" width="10.140625" bestFit="1" customWidth="1"/>
    <col min="13" max="13" width="11" bestFit="1" customWidth="1"/>
    <col min="14" max="14" width="8.28515625" bestFit="1" customWidth="1"/>
    <col min="15" max="15" width="13.7109375" bestFit="1" customWidth="1"/>
    <col min="16" max="16" width="10.5703125" bestFit="1" customWidth="1"/>
    <col min="17" max="17" width="11.28515625" bestFit="1" customWidth="1"/>
  </cols>
  <sheetData>
    <row r="3" spans="1:17" x14ac:dyDescent="0.25">
      <c r="A3" t="s">
        <v>34</v>
      </c>
    </row>
    <row r="4" spans="1:17" x14ac:dyDescent="0.25">
      <c r="A4" s="5">
        <v>6</v>
      </c>
      <c r="E4" s="3" t="s">
        <v>1</v>
      </c>
      <c r="F4" t="s">
        <v>37</v>
      </c>
      <c r="H4" s="3" t="s">
        <v>39</v>
      </c>
      <c r="I4" t="s">
        <v>36</v>
      </c>
      <c r="K4" s="3" t="s">
        <v>36</v>
      </c>
      <c r="L4" s="3" t="s">
        <v>2</v>
      </c>
    </row>
    <row r="5" spans="1:17" x14ac:dyDescent="0.25">
      <c r="E5" s="4" t="s">
        <v>13</v>
      </c>
      <c r="F5" s="6">
        <v>6002</v>
      </c>
      <c r="H5" s="4" t="s">
        <v>9</v>
      </c>
      <c r="I5" s="8">
        <v>12819.179999999998</v>
      </c>
      <c r="K5" s="3" t="s">
        <v>0</v>
      </c>
      <c r="L5" t="s">
        <v>9</v>
      </c>
      <c r="M5" t="s">
        <v>10</v>
      </c>
      <c r="N5" t="s">
        <v>8</v>
      </c>
      <c r="O5" t="s">
        <v>7</v>
      </c>
      <c r="P5" t="s">
        <v>6</v>
      </c>
      <c r="Q5" t="s">
        <v>33</v>
      </c>
    </row>
    <row r="6" spans="1:17" x14ac:dyDescent="0.25">
      <c r="E6" s="4" t="s">
        <v>11</v>
      </c>
      <c r="F6" s="6">
        <v>5677</v>
      </c>
      <c r="H6" s="4" t="s">
        <v>6</v>
      </c>
      <c r="I6" s="8">
        <v>10977.410000000002</v>
      </c>
      <c r="K6" s="4" t="s">
        <v>4</v>
      </c>
      <c r="L6" s="6">
        <v>2362.79</v>
      </c>
      <c r="M6" s="6">
        <v>1457.1000000000001</v>
      </c>
      <c r="N6" s="6">
        <v>1886.5500000000002</v>
      </c>
      <c r="O6" s="6">
        <v>1427.4699999999998</v>
      </c>
      <c r="P6" s="6">
        <v>1639.33</v>
      </c>
      <c r="Q6" s="8">
        <v>8773.24</v>
      </c>
    </row>
    <row r="7" spans="1:17" x14ac:dyDescent="0.25">
      <c r="E7" s="4" t="s">
        <v>12</v>
      </c>
      <c r="F7" s="6">
        <v>4808</v>
      </c>
      <c r="H7" s="4" t="s">
        <v>8</v>
      </c>
      <c r="I7" s="8">
        <v>10204.000000000002</v>
      </c>
      <c r="K7" s="4" t="s">
        <v>14</v>
      </c>
      <c r="L7" s="6">
        <v>2394.19</v>
      </c>
      <c r="M7" s="6">
        <v>1262.05</v>
      </c>
      <c r="N7" s="6">
        <v>1919.62</v>
      </c>
      <c r="O7" s="6">
        <v>1489.62</v>
      </c>
      <c r="P7" s="6">
        <v>2061.6</v>
      </c>
      <c r="Q7" s="8">
        <v>9127.08</v>
      </c>
    </row>
    <row r="8" spans="1:17" x14ac:dyDescent="0.25">
      <c r="A8" t="s">
        <v>36</v>
      </c>
      <c r="E8" s="4" t="s">
        <v>5</v>
      </c>
      <c r="F8" s="6">
        <v>4753</v>
      </c>
      <c r="H8" s="4" t="s">
        <v>7</v>
      </c>
      <c r="I8" s="8">
        <v>9630.840000000002</v>
      </c>
      <c r="K8" s="4" t="s">
        <v>15</v>
      </c>
      <c r="L8" s="6">
        <v>1534.7299999999998</v>
      </c>
      <c r="M8" s="6">
        <v>1457.98</v>
      </c>
      <c r="N8" s="6">
        <v>1579.68</v>
      </c>
      <c r="O8" s="6">
        <v>1538.42</v>
      </c>
      <c r="P8" s="6">
        <v>1470.53</v>
      </c>
      <c r="Q8" s="8">
        <v>7581.34</v>
      </c>
    </row>
    <row r="9" spans="1:17" x14ac:dyDescent="0.25">
      <c r="A9" s="8">
        <v>52526.899999999994</v>
      </c>
      <c r="E9" s="4" t="s">
        <v>33</v>
      </c>
      <c r="F9" s="6">
        <v>21240</v>
      </c>
      <c r="H9" s="4" t="s">
        <v>10</v>
      </c>
      <c r="I9" s="8">
        <v>8895.4699999999993</v>
      </c>
      <c r="K9" s="4" t="s">
        <v>16</v>
      </c>
      <c r="L9" s="6">
        <v>2199.9499999999998</v>
      </c>
      <c r="M9" s="6">
        <v>1961.31</v>
      </c>
      <c r="N9" s="6">
        <v>1206.9199999999998</v>
      </c>
      <c r="O9" s="6">
        <v>1455.6399999999999</v>
      </c>
      <c r="P9" s="6">
        <v>2005.85</v>
      </c>
      <c r="Q9" s="8">
        <v>8829.6700000000019</v>
      </c>
    </row>
    <row r="10" spans="1:17" x14ac:dyDescent="0.25">
      <c r="H10" s="4" t="s">
        <v>33</v>
      </c>
      <c r="I10" s="8">
        <v>52526.899999999994</v>
      </c>
      <c r="K10" s="4" t="s">
        <v>17</v>
      </c>
      <c r="L10" s="6">
        <v>1872.7800000000002</v>
      </c>
      <c r="M10" s="6">
        <v>1045.55</v>
      </c>
      <c r="N10" s="6">
        <v>1618.8500000000001</v>
      </c>
      <c r="O10" s="6">
        <v>1599.3899999999999</v>
      </c>
      <c r="P10" s="6">
        <v>2344.4499999999998</v>
      </c>
      <c r="Q10" s="8">
        <v>8481.0199999999986</v>
      </c>
    </row>
    <row r="11" spans="1:17" x14ac:dyDescent="0.25">
      <c r="K11" s="4" t="s">
        <v>18</v>
      </c>
      <c r="L11" s="6">
        <v>2454.7400000000002</v>
      </c>
      <c r="M11" s="6">
        <v>1711.48</v>
      </c>
      <c r="N11" s="6">
        <v>1992.38</v>
      </c>
      <c r="O11" s="6">
        <v>2120.3000000000002</v>
      </c>
      <c r="P11" s="6">
        <v>1455.65</v>
      </c>
      <c r="Q11" s="8">
        <v>9734.5499999999993</v>
      </c>
    </row>
    <row r="12" spans="1:17" x14ac:dyDescent="0.25">
      <c r="A12" t="s">
        <v>37</v>
      </c>
      <c r="E12" s="3" t="s">
        <v>1</v>
      </c>
      <c r="F12" t="s">
        <v>36</v>
      </c>
      <c r="K12" s="4" t="s">
        <v>33</v>
      </c>
      <c r="L12" s="6">
        <v>12819.179999999998</v>
      </c>
      <c r="M12" s="6">
        <v>8895.4699999999993</v>
      </c>
      <c r="N12" s="6">
        <v>10204.000000000002</v>
      </c>
      <c r="O12" s="6">
        <v>9630.840000000002</v>
      </c>
      <c r="P12" s="6">
        <v>10977.410000000002</v>
      </c>
      <c r="Q12" s="8">
        <v>52526.899999999994</v>
      </c>
    </row>
    <row r="13" spans="1:17" x14ac:dyDescent="0.25">
      <c r="A13" s="6">
        <v>21240</v>
      </c>
      <c r="E13" s="4" t="s">
        <v>11</v>
      </c>
      <c r="F13" s="8">
        <v>14614.31</v>
      </c>
      <c r="H13" s="3" t="s">
        <v>39</v>
      </c>
      <c r="I13" t="s">
        <v>37</v>
      </c>
    </row>
    <row r="14" spans="1:17" x14ac:dyDescent="0.25">
      <c r="E14" s="4" t="s">
        <v>12</v>
      </c>
      <c r="F14" s="8">
        <v>12023.530000000004</v>
      </c>
      <c r="H14" s="4" t="s">
        <v>9</v>
      </c>
      <c r="I14" s="6">
        <v>4551</v>
      </c>
    </row>
    <row r="15" spans="1:17" x14ac:dyDescent="0.25">
      <c r="E15" s="4" t="s">
        <v>5</v>
      </c>
      <c r="F15" s="8">
        <v>11792.609999999997</v>
      </c>
      <c r="H15" s="4" t="s">
        <v>6</v>
      </c>
      <c r="I15" s="6">
        <v>4425</v>
      </c>
    </row>
    <row r="16" spans="1:17" x14ac:dyDescent="0.25">
      <c r="E16" s="4" t="s">
        <v>13</v>
      </c>
      <c r="F16" s="8">
        <v>14096.45</v>
      </c>
      <c r="H16" s="4" t="s">
        <v>8</v>
      </c>
      <c r="I16" s="6">
        <v>4281</v>
      </c>
    </row>
    <row r="17" spans="5:15" x14ac:dyDescent="0.25">
      <c r="E17" s="4" t="s">
        <v>33</v>
      </c>
      <c r="F17" s="8">
        <v>52526.899999999994</v>
      </c>
      <c r="H17" s="4" t="s">
        <v>10</v>
      </c>
      <c r="I17" s="6">
        <v>4169</v>
      </c>
    </row>
    <row r="18" spans="5:15" x14ac:dyDescent="0.25">
      <c r="H18" s="4" t="s">
        <v>7</v>
      </c>
      <c r="I18" s="6">
        <v>3814</v>
      </c>
    </row>
    <row r="19" spans="5:15" x14ac:dyDescent="0.25">
      <c r="H19" s="4" t="s">
        <v>33</v>
      </c>
      <c r="I19" s="6">
        <v>21240</v>
      </c>
    </row>
    <row r="20" spans="5:15" x14ac:dyDescent="0.25">
      <c r="E20" s="3" t="s">
        <v>0</v>
      </c>
      <c r="F20" t="s">
        <v>36</v>
      </c>
    </row>
    <row r="21" spans="5:15" x14ac:dyDescent="0.25">
      <c r="E21" s="4" t="s">
        <v>4</v>
      </c>
      <c r="F21" s="8">
        <v>8773.24</v>
      </c>
    </row>
    <row r="22" spans="5:15" x14ac:dyDescent="0.25">
      <c r="E22" s="4" t="s">
        <v>14</v>
      </c>
      <c r="F22" s="8">
        <v>9127.08</v>
      </c>
      <c r="H22" s="3" t="s">
        <v>41</v>
      </c>
      <c r="I22" s="3" t="s">
        <v>42</v>
      </c>
    </row>
    <row r="23" spans="5:15" x14ac:dyDescent="0.25">
      <c r="E23" s="4" t="s">
        <v>15</v>
      </c>
      <c r="F23" s="8">
        <v>7581.34</v>
      </c>
      <c r="H23" s="3" t="s">
        <v>39</v>
      </c>
      <c r="I23" t="s">
        <v>18</v>
      </c>
      <c r="J23" t="s">
        <v>4</v>
      </c>
      <c r="K23" t="s">
        <v>17</v>
      </c>
      <c r="L23" t="s">
        <v>16</v>
      </c>
      <c r="M23" t="s">
        <v>14</v>
      </c>
      <c r="N23" t="s">
        <v>15</v>
      </c>
      <c r="O23" t="s">
        <v>33</v>
      </c>
    </row>
    <row r="24" spans="5:15" x14ac:dyDescent="0.25">
      <c r="E24" s="4" t="s">
        <v>16</v>
      </c>
      <c r="F24" s="8">
        <v>8829.6700000000019</v>
      </c>
      <c r="H24" s="4" t="s">
        <v>9</v>
      </c>
      <c r="I24" s="5">
        <v>838</v>
      </c>
      <c r="J24" s="5">
        <v>828</v>
      </c>
      <c r="K24" s="5">
        <v>732</v>
      </c>
      <c r="L24" s="5">
        <v>741</v>
      </c>
      <c r="M24" s="5">
        <v>825</v>
      </c>
      <c r="N24" s="5">
        <v>587</v>
      </c>
      <c r="O24" s="5">
        <v>4551</v>
      </c>
    </row>
    <row r="25" spans="5:15" x14ac:dyDescent="0.25">
      <c r="E25" s="4" t="s">
        <v>17</v>
      </c>
      <c r="F25" s="8">
        <v>8481.0199999999986</v>
      </c>
      <c r="H25" s="4" t="s">
        <v>10</v>
      </c>
      <c r="I25" s="5">
        <v>852</v>
      </c>
      <c r="J25" s="5">
        <v>820</v>
      </c>
      <c r="K25" s="5">
        <v>559</v>
      </c>
      <c r="L25" s="5">
        <v>857</v>
      </c>
      <c r="M25" s="5">
        <v>543</v>
      </c>
      <c r="N25" s="5">
        <v>538</v>
      </c>
      <c r="O25" s="5">
        <v>4169</v>
      </c>
    </row>
    <row r="26" spans="5:15" x14ac:dyDescent="0.25">
      <c r="E26" s="4" t="s">
        <v>18</v>
      </c>
      <c r="F26" s="8">
        <v>9734.5499999999993</v>
      </c>
      <c r="H26" s="4" t="s">
        <v>8</v>
      </c>
      <c r="I26" s="5">
        <v>796</v>
      </c>
      <c r="J26" s="5">
        <v>864</v>
      </c>
      <c r="K26" s="5">
        <v>680</v>
      </c>
      <c r="L26" s="5">
        <v>505</v>
      </c>
      <c r="M26" s="5">
        <v>704</v>
      </c>
      <c r="N26" s="5">
        <v>732</v>
      </c>
      <c r="O26" s="5">
        <v>4281</v>
      </c>
    </row>
    <row r="27" spans="5:15" x14ac:dyDescent="0.25">
      <c r="E27" s="4" t="s">
        <v>33</v>
      </c>
      <c r="F27" s="8">
        <v>52526.899999999994</v>
      </c>
      <c r="H27" s="4" t="s">
        <v>7</v>
      </c>
      <c r="I27" s="5">
        <v>694</v>
      </c>
      <c r="J27" s="5">
        <v>611</v>
      </c>
      <c r="K27" s="5">
        <v>709</v>
      </c>
      <c r="L27" s="5">
        <v>574</v>
      </c>
      <c r="M27" s="5">
        <v>609</v>
      </c>
      <c r="N27" s="5">
        <v>617</v>
      </c>
      <c r="O27" s="5">
        <v>3814</v>
      </c>
    </row>
    <row r="28" spans="5:15" x14ac:dyDescent="0.25">
      <c r="H28" s="4" t="s">
        <v>6</v>
      </c>
      <c r="I28" s="5">
        <v>633</v>
      </c>
      <c r="J28" s="5">
        <v>625</v>
      </c>
      <c r="K28" s="5">
        <v>1013</v>
      </c>
      <c r="L28" s="5">
        <v>860</v>
      </c>
      <c r="M28" s="5">
        <v>671</v>
      </c>
      <c r="N28" s="5">
        <v>623</v>
      </c>
      <c r="O28" s="5">
        <v>4425</v>
      </c>
    </row>
    <row r="29" spans="5:15" x14ac:dyDescent="0.25">
      <c r="H29" s="4" t="s">
        <v>33</v>
      </c>
      <c r="I29" s="5">
        <v>3813</v>
      </c>
      <c r="J29" s="5">
        <v>3748</v>
      </c>
      <c r="K29" s="5">
        <v>3693</v>
      </c>
      <c r="L29" s="5">
        <v>3537</v>
      </c>
      <c r="M29" s="5">
        <v>3352</v>
      </c>
      <c r="N29" s="5">
        <v>3097</v>
      </c>
      <c r="O29" s="5">
        <v>21240</v>
      </c>
    </row>
    <row r="30" spans="5:15" x14ac:dyDescent="0.25">
      <c r="E30" s="3" t="s">
        <v>0</v>
      </c>
      <c r="F30" t="s">
        <v>37</v>
      </c>
    </row>
    <row r="31" spans="5:15" x14ac:dyDescent="0.25">
      <c r="E31" s="4" t="s">
        <v>18</v>
      </c>
      <c r="F31" s="6">
        <v>3813</v>
      </c>
    </row>
    <row r="32" spans="5:15" x14ac:dyDescent="0.25">
      <c r="E32" s="4" t="s">
        <v>4</v>
      </c>
      <c r="F32" s="6">
        <v>3748</v>
      </c>
    </row>
    <row r="33" spans="5:6" x14ac:dyDescent="0.25">
      <c r="E33" s="4" t="s">
        <v>17</v>
      </c>
      <c r="F33" s="6">
        <v>3693</v>
      </c>
    </row>
    <row r="34" spans="5:6" x14ac:dyDescent="0.25">
      <c r="E34" s="4" t="s">
        <v>16</v>
      </c>
      <c r="F34" s="6">
        <v>3537</v>
      </c>
    </row>
    <row r="35" spans="5:6" x14ac:dyDescent="0.25">
      <c r="E35" s="4" t="s">
        <v>14</v>
      </c>
      <c r="F35" s="6">
        <v>3352</v>
      </c>
    </row>
    <row r="36" spans="5:6" x14ac:dyDescent="0.25">
      <c r="E36" s="4" t="s">
        <v>15</v>
      </c>
      <c r="F36" s="6">
        <v>3097</v>
      </c>
    </row>
    <row r="37" spans="5:6" x14ac:dyDescent="0.25">
      <c r="E37" s="4" t="s">
        <v>33</v>
      </c>
      <c r="F37" s="6">
        <v>21240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8" workbookViewId="0">
      <selection activeCell="O40" sqref="O4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topLeftCell="A28" zoomScale="82" zoomScaleNormal="82" workbookViewId="0">
      <selection activeCell="AD13" sqref="AD13"/>
    </sheetView>
  </sheetViews>
  <sheetFormatPr defaultRowHeight="15" x14ac:dyDescent="0.25"/>
  <cols>
    <col min="1" max="16384" width="9.140625" style="9"/>
  </cols>
  <sheetData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Sales_Performance_Record</vt:lpstr>
      <vt:lpstr>Tasks</vt:lpstr>
      <vt:lpstr>Pivot Table</vt:lpstr>
      <vt:lpstr>Pivot Charts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2026-03-29T11:41:07Z</cp:lastPrinted>
  <dcterms:created xsi:type="dcterms:W3CDTF">2026-03-28T16:04:27Z</dcterms:created>
  <dcterms:modified xsi:type="dcterms:W3CDTF">2026-04-01T19:17:45Z</dcterms:modified>
</cp:coreProperties>
</file>